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766a924895f3ec2/Desktop/"/>
    </mc:Choice>
  </mc:AlternateContent>
  <xr:revisionPtr revIDLastSave="0" documentId="8_{F81C016C-3F54-4CC7-81D9-98D311E0EB17}" xr6:coauthVersionLast="46" xr6:coauthVersionMax="46" xr10:uidLastSave="{00000000-0000-0000-0000-000000000000}"/>
  <bookViews>
    <workbookView xWindow="-110" yWindow="-110" windowWidth="19420" windowHeight="10420" firstSheet="1" activeTab="1" xr2:uid="{00000000-000D-0000-FFFF-FFFF00000000}"/>
  </bookViews>
  <sheets>
    <sheet name="График" sheetId="4" r:id="rId1"/>
    <sheet name="ГрафикVBA" sheetId="14" r:id="rId2"/>
    <sheet name="Расчет" sheetId="3" r:id="rId3"/>
    <sheet name="УКПГ-1АВ" sheetId="2" r:id="rId4"/>
    <sheet name="УКПГ-1АС" sheetId="7" r:id="rId5"/>
    <sheet name="УКПГ-2В" sheetId="5" r:id="rId6"/>
    <sheet name="УКПГ-2" sheetId="11" r:id="rId7"/>
    <sheet name="УКПГ-3" sheetId="9" r:id="rId8"/>
    <sheet name="УКПГ-4" sheetId="8" r:id="rId9"/>
    <sheet name="УКПГ-5В" sheetId="6" r:id="rId10"/>
    <sheet name="УКПГ-5С" sheetId="15" r:id="rId11"/>
    <sheet name="УКПГ-6" sheetId="10" r:id="rId12"/>
    <sheet name="УКПГ-7" sheetId="12" r:id="rId13"/>
    <sheet name="УКПГ-8В" sheetId="13" r:id="rId14"/>
  </sheets>
  <definedNames>
    <definedName name="ЗначенияУ">OFFSET(INDIRECT(CONCATENATE("'",INDEX(Расчет!$B$3:$Z$3,Расчет!$B$1),"'","!","$C$3:$C$86")),0,3*Расчет!$A$1-3,IF(ISNA(MATCH("ЗПА",OFFSET(INDIRECT(CONCATENATE("'",INDEX(Расчет!$B$3:$Z$3,Расчет!$B$1),"'","!","$A$3:$A$104")),0,3*Расчет!$A$1-3),0)),MATCH("ППА",OFFSET(INDIRECT(CONCATENATE("'",INDEX(Расчет!$B$3:$Z$3,Расчет!$B$1),"'","!","$A$3:$A$104")),0,3*Расчет!$A$1-3),0),MATCH("ЗПА",OFFSET(INDIRECT(CONCATENATE("'",INDEX(Расчет!$B$3:$Z$3,Расчет!$B$1),"'","!","$A$3:$A$104")),0,3*Расчет!$A$1-3),0)))</definedName>
    <definedName name="ЗначенияХ">OFFSET(INDIRECT(CONCATENATE("'",INDEX(Расчет!$B$3:$Z$3,Расчет!$B$1),"'","!","$B$3:$B$86")),0,3*Расчет!$A$1-3,IF(ISNA(MATCH("ЗПА",OFFSET(INDIRECT(CONCATENATE("'",INDEX(Расчет!$B$3:$Z$3,Расчет!$B$1),"'","!","$A$3:$A$104")),0,3*Расчет!$A$1-3),0)),MATCH("ППА",OFFSET(INDIRECT(CONCATENATE("'",INDEX(Расчет!$B$3:$Z$3,Расчет!$B$1),"'","!","$A$3:$A$104")),0,3*Расчет!$A$1-3),0),MATCH("ЗПА",OFFSET(INDIRECT(CONCATENATE("'",INDEX(Расчет!$B$3:$Z$3,Расчет!$B$1),"'","!","$A$3:$A$104")),0,3*Расчет!$A$1-3),0)))</definedName>
    <definedName name="ЗПА">Расчет!#REF!</definedName>
    <definedName name="Название">Расчет!$AD$36</definedName>
    <definedName name="УКПГ">OFFSET(Расчет!$B$4:$B$55,0,Расчет!$B$1-1,COUNTA(OFFSET(Расчет!$B$4:$B$55,0,Расчет!$B$1-1)))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8" i="11" l="1"/>
  <c r="AC54" i="11"/>
  <c r="W23" i="11"/>
  <c r="W24" i="11" s="1"/>
  <c r="W25" i="11" s="1"/>
  <c r="W17" i="11"/>
  <c r="W18" i="11" s="1"/>
  <c r="W19" i="11" s="1"/>
  <c r="W20" i="11" s="1"/>
  <c r="J7" i="14"/>
  <c r="I6" i="14"/>
  <c r="J6" i="14"/>
  <c r="I7" i="14"/>
  <c r="K7" i="14"/>
  <c r="K8" i="14"/>
  <c r="J8" i="14"/>
  <c r="K6" i="14"/>
  <c r="I8" i="14"/>
  <c r="AR36" i="10" l="1"/>
  <c r="AR37" i="10"/>
  <c r="AR38" i="10"/>
  <c r="AR39" i="10"/>
  <c r="AR35" i="10"/>
  <c r="AO47" i="10"/>
  <c r="AO48" i="10"/>
  <c r="AO49" i="10"/>
  <c r="AO50" i="10"/>
  <c r="AO46" i="10"/>
  <c r="BS9" i="6" l="1"/>
  <c r="BS10" i="6"/>
  <c r="BS11" i="6"/>
  <c r="BS12" i="6"/>
  <c r="BS13" i="6"/>
  <c r="BS14" i="6"/>
  <c r="BS15" i="6"/>
  <c r="BS16" i="6"/>
  <c r="BS17" i="6"/>
  <c r="BS18" i="6"/>
  <c r="BS19" i="6"/>
  <c r="BS20" i="6"/>
  <c r="BS21" i="6"/>
  <c r="BS22" i="6"/>
  <c r="BS23" i="6"/>
  <c r="BS24" i="6"/>
  <c r="BS25" i="6"/>
  <c r="BS26" i="6"/>
  <c r="BS27" i="6"/>
  <c r="BS28" i="6"/>
  <c r="BS29" i="6"/>
  <c r="BS30" i="6"/>
  <c r="BS31" i="6"/>
  <c r="BS32" i="6"/>
  <c r="BS33" i="6"/>
  <c r="BS34" i="6"/>
  <c r="BS35" i="6"/>
  <c r="BS36" i="6"/>
  <c r="BS37" i="6"/>
  <c r="BS38" i="6"/>
  <c r="BS39" i="6"/>
  <c r="BS8" i="6"/>
  <c r="AU19" i="9" l="1"/>
  <c r="AU20" i="9"/>
  <c r="AU21" i="9"/>
  <c r="AU22" i="9"/>
  <c r="AU23" i="9"/>
  <c r="AU24" i="9"/>
  <c r="AU25" i="9"/>
  <c r="AU26" i="9"/>
  <c r="AU27" i="9"/>
  <c r="AU28" i="9"/>
  <c r="AU29" i="9"/>
  <c r="AU30" i="9"/>
  <c r="AU31" i="9"/>
  <c r="AU32" i="9"/>
  <c r="AU33" i="9"/>
  <c r="AU34" i="9"/>
  <c r="AU35" i="9"/>
  <c r="AU36" i="9"/>
  <c r="AU37" i="9"/>
  <c r="AU38" i="9"/>
  <c r="AU39" i="9"/>
  <c r="AU18" i="9"/>
  <c r="N25" i="9" l="1"/>
  <c r="N26" i="9" s="1"/>
  <c r="N27" i="9" s="1"/>
  <c r="N28" i="9" s="1"/>
  <c r="N29" i="9" s="1"/>
  <c r="N30" i="9" s="1"/>
  <c r="N31" i="9" s="1"/>
  <c r="N32" i="9" s="1"/>
  <c r="I6" i="4"/>
  <c r="I8" i="4"/>
  <c r="K7" i="4"/>
  <c r="I7" i="4"/>
  <c r="K8" i="4"/>
  <c r="K6" i="4"/>
  <c r="AU81" i="8" l="1"/>
  <c r="AU82" i="8"/>
  <c r="AU75" i="8"/>
  <c r="AU76" i="8"/>
  <c r="AU77" i="8"/>
  <c r="AU78" i="8"/>
  <c r="AU79" i="8"/>
  <c r="AU80" i="8"/>
  <c r="AU72" i="8"/>
  <c r="AU73" i="8"/>
  <c r="AU74" i="8"/>
  <c r="AU20" i="8"/>
  <c r="AU21" i="8"/>
  <c r="AU22" i="8"/>
  <c r="AU23" i="8"/>
  <c r="AU24" i="8"/>
  <c r="AU25" i="8"/>
  <c r="AU26" i="8"/>
  <c r="AU27" i="8"/>
  <c r="AU28" i="8"/>
  <c r="AU29" i="8"/>
  <c r="AU30" i="8"/>
  <c r="AU31" i="8"/>
  <c r="AU32" i="8"/>
  <c r="AU33" i="8"/>
  <c r="AU34" i="8"/>
  <c r="AU35" i="8"/>
  <c r="AU36" i="8"/>
  <c r="AU37" i="8"/>
  <c r="AU38" i="8"/>
  <c r="AU39" i="8"/>
  <c r="AU40" i="8"/>
  <c r="AU41" i="8"/>
  <c r="AU42" i="8"/>
  <c r="AU43" i="8"/>
  <c r="AU44" i="8"/>
  <c r="AU45" i="8"/>
  <c r="AU46" i="8"/>
  <c r="AU47" i="8"/>
  <c r="AU48" i="8"/>
  <c r="AU49" i="8"/>
  <c r="AU50" i="8"/>
  <c r="AU51" i="8"/>
  <c r="AU52" i="8"/>
  <c r="AU53" i="8"/>
  <c r="AU54" i="8"/>
  <c r="AU55" i="8"/>
  <c r="AU56" i="8"/>
  <c r="AU57" i="8"/>
  <c r="AU58" i="8"/>
  <c r="AU59" i="8"/>
  <c r="AU60" i="8"/>
  <c r="AU61" i="8"/>
  <c r="AU62" i="8"/>
  <c r="AU63" i="8"/>
  <c r="AU64" i="8"/>
  <c r="AU65" i="8"/>
  <c r="AU66" i="8"/>
  <c r="AU67" i="8"/>
  <c r="AU68" i="8"/>
  <c r="AU69" i="8"/>
  <c r="AU70" i="8"/>
  <c r="AU71" i="8"/>
  <c r="AU19" i="8"/>
  <c r="AD36" i="3" l="1"/>
  <c r="J7" i="4"/>
  <c r="J8" i="4"/>
  <c r="J6" i="4"/>
  <c r="Z20" i="7" l="1"/>
  <c r="Z21" i="7"/>
  <c r="Z22" i="7"/>
  <c r="Z23" i="7"/>
  <c r="Z24" i="7"/>
  <c r="Z25" i="7"/>
  <c r="Z26" i="7"/>
  <c r="Z27" i="7"/>
  <c r="Z19" i="7"/>
  <c r="Q28" i="7"/>
  <c r="Q29" i="7"/>
  <c r="Q30" i="7"/>
  <c r="Q31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7" i="7"/>
  <c r="B11" i="5" l="1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10" i="5"/>
  <c r="G40" i="4" l="1"/>
  <c r="B53" i="4"/>
  <c r="B47" i="4"/>
  <c r="B54" i="4"/>
  <c r="B46" i="4"/>
  <c r="B51" i="4"/>
  <c r="B50" i="4"/>
  <c r="B52" i="4"/>
  <c r="B48" i="4"/>
  <c r="B45" i="4"/>
  <c r="B49" i="4"/>
  <c r="EV15" i="2" l="1"/>
  <c r="EV16" i="2"/>
  <c r="EV17" i="2"/>
  <c r="EV18" i="2"/>
  <c r="EV19" i="2"/>
  <c r="EV20" i="2"/>
  <c r="EV21" i="2"/>
  <c r="EV22" i="2"/>
  <c r="EV23" i="2"/>
  <c r="EV24" i="2"/>
  <c r="EV25" i="2"/>
  <c r="EV26" i="2"/>
  <c r="EV27" i="2"/>
  <c r="EV28" i="2"/>
  <c r="EV29" i="2"/>
  <c r="EV30" i="2"/>
  <c r="EV31" i="2"/>
  <c r="EV32" i="2"/>
  <c r="EV33" i="2"/>
  <c r="EV34" i="2"/>
  <c r="EV35" i="2"/>
  <c r="EV36" i="2"/>
  <c r="EV37" i="2"/>
  <c r="EV38" i="2"/>
  <c r="EV14" i="2"/>
  <c r="EY40" i="2"/>
  <c r="EY41" i="2"/>
  <c r="EY42" i="2"/>
  <c r="EY43" i="2"/>
  <c r="EY20" i="2"/>
  <c r="EY21" i="2"/>
  <c r="EY22" i="2"/>
  <c r="EY23" i="2"/>
  <c r="EY24" i="2"/>
  <c r="EY25" i="2"/>
  <c r="EY26" i="2"/>
  <c r="EY27" i="2"/>
  <c r="EY28" i="2"/>
  <c r="EY29" i="2"/>
  <c r="EY30" i="2"/>
  <c r="EY31" i="2"/>
  <c r="EY32" i="2"/>
  <c r="EY33" i="2"/>
  <c r="EY34" i="2"/>
  <c r="EY35" i="2"/>
  <c r="EY36" i="2"/>
  <c r="EY37" i="2"/>
  <c r="EY38" i="2"/>
  <c r="EY39" i="2"/>
  <c r="EY19" i="2"/>
</calcChain>
</file>

<file path=xl/sharedStrings.xml><?xml version="1.0" encoding="utf-8"?>
<sst xmlns="http://schemas.openxmlformats.org/spreadsheetml/2006/main" count="1733" uniqueCount="435">
  <si>
    <t>Куст 1-17</t>
  </si>
  <si>
    <t>Куст 1-18</t>
  </si>
  <si>
    <t>Куст 1-19</t>
  </si>
  <si>
    <t>Куст 1-20</t>
  </si>
  <si>
    <t>Куст 1-21</t>
  </si>
  <si>
    <t>Куст 1-23</t>
  </si>
  <si>
    <t>Куст 1-24</t>
  </si>
  <si>
    <t>Куст 1-30</t>
  </si>
  <si>
    <t>Куст 1-34</t>
  </si>
  <si>
    <t>Куст 1-35</t>
  </si>
  <si>
    <t>Куст 1-36</t>
  </si>
  <si>
    <t>Куст 1-37</t>
  </si>
  <si>
    <t>Куст 1-38</t>
  </si>
  <si>
    <t>Куст 1-39</t>
  </si>
  <si>
    <t>Куст 1-40</t>
  </si>
  <si>
    <t>Куст 1-43</t>
  </si>
  <si>
    <t>Куст 1-44</t>
  </si>
  <si>
    <t>Куст 1-45</t>
  </si>
  <si>
    <t>Куст 1-46</t>
  </si>
  <si>
    <t>Куст 1-47</t>
  </si>
  <si>
    <t>Куст 1-49</t>
  </si>
  <si>
    <t>Куст 1-50</t>
  </si>
  <si>
    <t>Куст 1-51</t>
  </si>
  <si>
    <t>Куст 1-52</t>
  </si>
  <si>
    <t>Куст 1-57</t>
  </si>
  <si>
    <t>Куст 1-59</t>
  </si>
  <si>
    <t>Куст 1-60</t>
  </si>
  <si>
    <t>Куст 1-65</t>
  </si>
  <si>
    <t>Куст 1-67</t>
  </si>
  <si>
    <t>Куст 1-68</t>
  </si>
  <si>
    <t>Куст 1-73</t>
  </si>
  <si>
    <t>Куст 1-74</t>
  </si>
  <si>
    <t>Длина,м</t>
  </si>
  <si>
    <t>Высота,м</t>
  </si>
  <si>
    <t>Куст 1-75</t>
  </si>
  <si>
    <t>Куст 1-76</t>
  </si>
  <si>
    <t>Куст 1-77</t>
  </si>
  <si>
    <t>Куст 1-78</t>
  </si>
  <si>
    <t>Куст 1-79</t>
  </si>
  <si>
    <t>Куст 1-80</t>
  </si>
  <si>
    <t>Куст 1-81</t>
  </si>
  <si>
    <t>Куст 1-82</t>
  </si>
  <si>
    <t>Куст 1-83</t>
  </si>
  <si>
    <t>Куст 1-85</t>
  </si>
  <si>
    <t>Куст 1-87</t>
  </si>
  <si>
    <t>Куст 1-88</t>
  </si>
  <si>
    <t>Куст 1-90</t>
  </si>
  <si>
    <t>Куст 1-92</t>
  </si>
  <si>
    <t>Куст 1-93</t>
  </si>
  <si>
    <t>Куст 1-69</t>
  </si>
  <si>
    <t>Куст 1-70</t>
  </si>
  <si>
    <t>Куст 1-61</t>
  </si>
  <si>
    <t>Куст 1-62</t>
  </si>
  <si>
    <t>Куст 1-63</t>
  </si>
  <si>
    <t>ЗПА</t>
  </si>
  <si>
    <t>УКПГ-1АВ</t>
  </si>
  <si>
    <t>Вр 1-18</t>
  </si>
  <si>
    <t>озеро</t>
  </si>
  <si>
    <t>Вр 1-19</t>
  </si>
  <si>
    <t>Вр к 24</t>
  </si>
  <si>
    <t>Вр 1-40</t>
  </si>
  <si>
    <t>Вр 1-39</t>
  </si>
  <si>
    <t>ВР 1-83</t>
  </si>
  <si>
    <t>ВР 1-77</t>
  </si>
  <si>
    <t>Река</t>
  </si>
  <si>
    <t>Вр 1-87</t>
  </si>
  <si>
    <t>Вр 1-92</t>
  </si>
  <si>
    <t>Куст 2-102</t>
  </si>
  <si>
    <t>Куст 2-065</t>
  </si>
  <si>
    <t>Куст 2-113А</t>
  </si>
  <si>
    <t>Куст 2-103</t>
  </si>
  <si>
    <t>Куст 2-105</t>
  </si>
  <si>
    <t>Куст 2-106</t>
  </si>
  <si>
    <t>Куст 2-107</t>
  </si>
  <si>
    <t>Куст 2-109</t>
  </si>
  <si>
    <t>Куст 2-110</t>
  </si>
  <si>
    <t>Куст 2-111</t>
  </si>
  <si>
    <t>Куст 2-114</t>
  </si>
  <si>
    <t>Куст 2-115</t>
  </si>
  <si>
    <t>Куст 2-115А</t>
  </si>
  <si>
    <t>Куст 2-116</t>
  </si>
  <si>
    <t>Куст 2-117</t>
  </si>
  <si>
    <t>Куст 2-118</t>
  </si>
  <si>
    <t>Куст 2-119</t>
  </si>
  <si>
    <t>Куст 2-120</t>
  </si>
  <si>
    <t>Куст 2-121</t>
  </si>
  <si>
    <t>Куст 2-122</t>
  </si>
  <si>
    <t>Куст 2-125</t>
  </si>
  <si>
    <t>Куст 2-126</t>
  </si>
  <si>
    <t>Куст 2-127</t>
  </si>
  <si>
    <t>Куст 2-128</t>
  </si>
  <si>
    <t>Куст 2-129</t>
  </si>
  <si>
    <t>Куст 2-131</t>
  </si>
  <si>
    <t>Куст 2-132</t>
  </si>
  <si>
    <t>Куст 2-133</t>
  </si>
  <si>
    <t>Куст 2-134</t>
  </si>
  <si>
    <t>Куст 2-137</t>
  </si>
  <si>
    <t>Куст 2-138</t>
  </si>
  <si>
    <t>Куст 2-139</t>
  </si>
  <si>
    <t>Куст 2-140</t>
  </si>
  <si>
    <t>Куст 2-149</t>
  </si>
  <si>
    <t>Куст 2-143</t>
  </si>
  <si>
    <t>Куст 2-144</t>
  </si>
  <si>
    <t>Куст 2-145</t>
  </si>
  <si>
    <t>Куст 2-152</t>
  </si>
  <si>
    <t>Куст 2-318</t>
  </si>
  <si>
    <t>Куст 2-325</t>
  </si>
  <si>
    <t>Длина</t>
  </si>
  <si>
    <t>Высота</t>
  </si>
  <si>
    <t>Дорога</t>
  </si>
  <si>
    <t>Озеро</t>
  </si>
  <si>
    <t>р.Нерха</t>
  </si>
  <si>
    <t>Профиль газосборных сетей</t>
  </si>
  <si>
    <t>Выберите УКПГ</t>
  </si>
  <si>
    <t>Выберите номер куста</t>
  </si>
  <si>
    <t>Примечания</t>
  </si>
  <si>
    <t>Вр 2-140</t>
  </si>
  <si>
    <t>р.Нерка,335</t>
  </si>
  <si>
    <t>Вр 2-132</t>
  </si>
  <si>
    <t>Ручей</t>
  </si>
  <si>
    <t>Ручей,2280</t>
  </si>
  <si>
    <t>Ручей,1783</t>
  </si>
  <si>
    <t>Озеро,1803</t>
  </si>
  <si>
    <t>Ручей,607</t>
  </si>
  <si>
    <t>р.Нераяха</t>
  </si>
  <si>
    <t>р.Неяха</t>
  </si>
  <si>
    <t>УКПГ-5В</t>
  </si>
  <si>
    <t>Куст 5-21</t>
  </si>
  <si>
    <t>Куст 5-157</t>
  </si>
  <si>
    <t>Куст 5-159</t>
  </si>
  <si>
    <t>Куст 5-160</t>
  </si>
  <si>
    <t>Куст 5-162</t>
  </si>
  <si>
    <t>Куст 5-163</t>
  </si>
  <si>
    <t>Куст 5-164</t>
  </si>
  <si>
    <t>Куст 5-167</t>
  </si>
  <si>
    <t>Куст 5-168</t>
  </si>
  <si>
    <t>Куст 5-169</t>
  </si>
  <si>
    <t>Куст 5-170</t>
  </si>
  <si>
    <t>Куст 5-173</t>
  </si>
  <si>
    <t>Куст 5-174</t>
  </si>
  <si>
    <t>Куст 5-176</t>
  </si>
  <si>
    <t>Куст 5-179</t>
  </si>
  <si>
    <t>Куст 5-184</t>
  </si>
  <si>
    <t>Куст 5-185</t>
  </si>
  <si>
    <t>Куст 5-186</t>
  </si>
  <si>
    <t>Куст 5-187</t>
  </si>
  <si>
    <t>Куст 5-188</t>
  </si>
  <si>
    <t>Куст 5-189</t>
  </si>
  <si>
    <t>Куст 5-192</t>
  </si>
  <si>
    <t>Куст 5-193</t>
  </si>
  <si>
    <t>Куст 5-194</t>
  </si>
  <si>
    <t>Куст 5-196</t>
  </si>
  <si>
    <t>Куст 5-197</t>
  </si>
  <si>
    <t>Куст 5-198</t>
  </si>
  <si>
    <t>Куст 5-200</t>
  </si>
  <si>
    <t>Куст 5-202</t>
  </si>
  <si>
    <t>Куст 5-201</t>
  </si>
  <si>
    <t>Вр 2-113А</t>
  </si>
  <si>
    <t>Вр 2065</t>
  </si>
  <si>
    <t>Куст 5-333</t>
  </si>
  <si>
    <t>УКПГ-1АС</t>
  </si>
  <si>
    <t>Куст 161</t>
  </si>
  <si>
    <t>Куст 162</t>
  </si>
  <si>
    <t>Куст 163</t>
  </si>
  <si>
    <t>Куст 164</t>
  </si>
  <si>
    <t>Куст 165</t>
  </si>
  <si>
    <t>Куст 166</t>
  </si>
  <si>
    <t>Куст 167</t>
  </si>
  <si>
    <t>Куст 168</t>
  </si>
  <si>
    <t>Куст 169</t>
  </si>
  <si>
    <t>Куст 170</t>
  </si>
  <si>
    <t>Куст 171</t>
  </si>
  <si>
    <t>Куст 172</t>
  </si>
  <si>
    <t>Куст 173</t>
  </si>
  <si>
    <t>Куст 174</t>
  </si>
  <si>
    <t>Куст 176</t>
  </si>
  <si>
    <t>Куст 177</t>
  </si>
  <si>
    <t>Куст 178</t>
  </si>
  <si>
    <t>Куст 179</t>
  </si>
  <si>
    <t>Куст 180</t>
  </si>
  <si>
    <t>Куст 181</t>
  </si>
  <si>
    <t>Куст 182</t>
  </si>
  <si>
    <t>Куст 183</t>
  </si>
  <si>
    <t>Куст 184</t>
  </si>
  <si>
    <t>Куст 185</t>
  </si>
  <si>
    <t>Куст 186</t>
  </si>
  <si>
    <t>Куст 187</t>
  </si>
  <si>
    <t>Куст 188</t>
  </si>
  <si>
    <t>Куст 189</t>
  </si>
  <si>
    <t>Вр 166</t>
  </si>
  <si>
    <t>Вр 161</t>
  </si>
  <si>
    <t>Вр 163</t>
  </si>
  <si>
    <t>Вр 165</t>
  </si>
  <si>
    <t>Вр 169</t>
  </si>
  <si>
    <t>Вр 168</t>
  </si>
  <si>
    <t>Вр 174</t>
  </si>
  <si>
    <t>Вр 170</t>
  </si>
  <si>
    <t>Р.Мареловаяха</t>
  </si>
  <si>
    <t>Вр 173</t>
  </si>
  <si>
    <t>Вр 171</t>
  </si>
  <si>
    <t>Вр 179</t>
  </si>
  <si>
    <t>Вр 176</t>
  </si>
  <si>
    <t>Вр 177</t>
  </si>
  <si>
    <t>Вр 182</t>
  </si>
  <si>
    <t>Вр 180</t>
  </si>
  <si>
    <t>Вр 178</t>
  </si>
  <si>
    <t>Вр 184</t>
  </si>
  <si>
    <t>Вр 186</t>
  </si>
  <si>
    <t>Вр 181</t>
  </si>
  <si>
    <t>Вр 189</t>
  </si>
  <si>
    <t>Вр 185</t>
  </si>
  <si>
    <t>Вр 188</t>
  </si>
  <si>
    <t>Вр 183</t>
  </si>
  <si>
    <t>Вр 187</t>
  </si>
  <si>
    <t>УКПГ-2В</t>
  </si>
  <si>
    <t>Ручей,2598</t>
  </si>
  <si>
    <t>Куст 4-41</t>
  </si>
  <si>
    <t>Куст 4-42</t>
  </si>
  <si>
    <t>Куст 4-43</t>
  </si>
  <si>
    <t>Куст 4-44</t>
  </si>
  <si>
    <t>Куст 4-45</t>
  </si>
  <si>
    <t>Куст 4-46</t>
  </si>
  <si>
    <t>Куст 4-47</t>
  </si>
  <si>
    <t>Куст 4-48</t>
  </si>
  <si>
    <t>Куст 4-49</t>
  </si>
  <si>
    <t>Куст 4-410</t>
  </si>
  <si>
    <t>Куст 4-411</t>
  </si>
  <si>
    <t>Куст 4-412</t>
  </si>
  <si>
    <t>Куст 4-413</t>
  </si>
  <si>
    <t>Куст 4-414</t>
  </si>
  <si>
    <t>Куст 4-415</t>
  </si>
  <si>
    <t>Куст 4-416</t>
  </si>
  <si>
    <t>Куст 4-417</t>
  </si>
  <si>
    <t>Куст 4-418</t>
  </si>
  <si>
    <t>ППА</t>
  </si>
  <si>
    <t>Вр 4-417</t>
  </si>
  <si>
    <t>Вр 4-43</t>
  </si>
  <si>
    <t>Вр 4-418</t>
  </si>
  <si>
    <t>Вр 4-44</t>
  </si>
  <si>
    <t>р.Есетаяхатарка</t>
  </si>
  <si>
    <t>Вр 521</t>
  </si>
  <si>
    <t>р. Есетаяхатарка</t>
  </si>
  <si>
    <t>Вр 167</t>
  </si>
  <si>
    <t>Вр 416</t>
  </si>
  <si>
    <t>Вр 412</t>
  </si>
  <si>
    <t>Вр 4-415</t>
  </si>
  <si>
    <t>Вр 411</t>
  </si>
  <si>
    <t>УКПГ-3</t>
  </si>
  <si>
    <t>Куст 31</t>
  </si>
  <si>
    <t>Куст 32</t>
  </si>
  <si>
    <t>Куст 33</t>
  </si>
  <si>
    <t>Куст 34</t>
  </si>
  <si>
    <t>Куст 35</t>
  </si>
  <si>
    <t>Куст 36</t>
  </si>
  <si>
    <t>Куст 37</t>
  </si>
  <si>
    <t>куст 38</t>
  </si>
  <si>
    <t>Куст 39</t>
  </si>
  <si>
    <t>Куст 310</t>
  </si>
  <si>
    <t>Куст 311</t>
  </si>
  <si>
    <t>Куст 313</t>
  </si>
  <si>
    <t>Куст 314</t>
  </si>
  <si>
    <t>Куст 315</t>
  </si>
  <si>
    <t>Куст 38</t>
  </si>
  <si>
    <t>Куст 312</t>
  </si>
  <si>
    <t>Куст 316</t>
  </si>
  <si>
    <t>р.Нюдя-Есетаяха</t>
  </si>
  <si>
    <t>Куст 618</t>
  </si>
  <si>
    <t>Куст 619</t>
  </si>
  <si>
    <t>Вр 618</t>
  </si>
  <si>
    <t>УКПГ-6</t>
  </si>
  <si>
    <t>Куст 61</t>
  </si>
  <si>
    <t>Куст 62</t>
  </si>
  <si>
    <t>Куст 64</t>
  </si>
  <si>
    <t>Куст 66</t>
  </si>
  <si>
    <t>Куст 67</t>
  </si>
  <si>
    <t>Куст 68</t>
  </si>
  <si>
    <t>Куст 69</t>
  </si>
  <si>
    <t>Куст 610</t>
  </si>
  <si>
    <t>Куст 611</t>
  </si>
  <si>
    <t>Куст 612</t>
  </si>
  <si>
    <t>Куст 613</t>
  </si>
  <si>
    <t>Куст 614</t>
  </si>
  <si>
    <t>Куст 615</t>
  </si>
  <si>
    <t>Куст 616</t>
  </si>
  <si>
    <t>Куст 617</t>
  </si>
  <si>
    <t>Вр 619</t>
  </si>
  <si>
    <t>Вр 316</t>
  </si>
  <si>
    <t>Вр 38</t>
  </si>
  <si>
    <t>Вр 315</t>
  </si>
  <si>
    <t>р. Нераяха</t>
  </si>
  <si>
    <t>Вр 39</t>
  </si>
  <si>
    <t>Вр 35</t>
  </si>
  <si>
    <t>Вр 5-194</t>
  </si>
  <si>
    <t>Вр 5-202</t>
  </si>
  <si>
    <t>Вр 615</t>
  </si>
  <si>
    <t>Вр 64</t>
  </si>
  <si>
    <t>Вр 617</t>
  </si>
  <si>
    <t>р.Пидейяха</t>
  </si>
  <si>
    <t>Вр 616</t>
  </si>
  <si>
    <t>Вр 610</t>
  </si>
  <si>
    <t>Вр 69</t>
  </si>
  <si>
    <t>Заглушка, а не ппа</t>
  </si>
  <si>
    <t>Заглушка,а не ППА</t>
  </si>
  <si>
    <t>Куст 21</t>
  </si>
  <si>
    <t>Куст 22</t>
  </si>
  <si>
    <t>Куст 23</t>
  </si>
  <si>
    <t>Куст 24</t>
  </si>
  <si>
    <t>Куст 25</t>
  </si>
  <si>
    <t>Куст 26</t>
  </si>
  <si>
    <t>Куст 27</t>
  </si>
  <si>
    <t>Куст 28</t>
  </si>
  <si>
    <t>Куст 29</t>
  </si>
  <si>
    <t>Куст 210</t>
  </si>
  <si>
    <t>Куст 211</t>
  </si>
  <si>
    <t>Куст 212</t>
  </si>
  <si>
    <t>Куст 213</t>
  </si>
  <si>
    <t>Куст 214</t>
  </si>
  <si>
    <t>Куст 215</t>
  </si>
  <si>
    <t>Куст 216</t>
  </si>
  <si>
    <t>Вр 213</t>
  </si>
  <si>
    <t>р.Лямбяха</t>
  </si>
  <si>
    <t>Вр 23</t>
  </si>
  <si>
    <t>Вр 211</t>
  </si>
  <si>
    <t>Вр 215</t>
  </si>
  <si>
    <t>р.Лябаяха</t>
  </si>
  <si>
    <t>Вр  216</t>
  </si>
  <si>
    <t>Вр 210</t>
  </si>
  <si>
    <t>Куст 71</t>
  </si>
  <si>
    <t>Куст72</t>
  </si>
  <si>
    <t>Куст 73</t>
  </si>
  <si>
    <t>Куст 74</t>
  </si>
  <si>
    <t>Куст 75</t>
  </si>
  <si>
    <t>Куст 76</t>
  </si>
  <si>
    <t>Куст 77</t>
  </si>
  <si>
    <t>Куст 78</t>
  </si>
  <si>
    <t>Куст 79</t>
  </si>
  <si>
    <t>Куст 710</t>
  </si>
  <si>
    <t>Куст 711</t>
  </si>
  <si>
    <t>Куст 712</t>
  </si>
  <si>
    <t>Куст 713</t>
  </si>
  <si>
    <t>Куст 714</t>
  </si>
  <si>
    <t>Куст 715</t>
  </si>
  <si>
    <t>Куст 716</t>
  </si>
  <si>
    <t>Куст 717</t>
  </si>
  <si>
    <t>Куст 718</t>
  </si>
  <si>
    <t>Куст 719</t>
  </si>
  <si>
    <t>Куст 720</t>
  </si>
  <si>
    <t>Куст 721</t>
  </si>
  <si>
    <t>Куст 722</t>
  </si>
  <si>
    <t>Куст 723</t>
  </si>
  <si>
    <t>Куст 72</t>
  </si>
  <si>
    <t>р. Пидейяха</t>
  </si>
  <si>
    <t>Вр 74</t>
  </si>
  <si>
    <t>Вр 73</t>
  </si>
  <si>
    <t>Вр 718</t>
  </si>
  <si>
    <t>Вр 77</t>
  </si>
  <si>
    <t>Вр 716</t>
  </si>
  <si>
    <t>Вр 71</t>
  </si>
  <si>
    <t>Вр 721</t>
  </si>
  <si>
    <t>Вр 717</t>
  </si>
  <si>
    <t>Вр 720</t>
  </si>
  <si>
    <t>Вр 722</t>
  </si>
  <si>
    <t>УКПГ-8В</t>
  </si>
  <si>
    <t>УКПГ-8С</t>
  </si>
  <si>
    <t>Куст 81</t>
  </si>
  <si>
    <t>Куст 82</t>
  </si>
  <si>
    <t>Куст 83</t>
  </si>
  <si>
    <t>Куст 84</t>
  </si>
  <si>
    <t>Куст 85</t>
  </si>
  <si>
    <t>Куст 86</t>
  </si>
  <si>
    <t>Куст 87</t>
  </si>
  <si>
    <t>Куст 88</t>
  </si>
  <si>
    <t>Куст 89</t>
  </si>
  <si>
    <t>Куст 810</t>
  </si>
  <si>
    <t>Куст 811</t>
  </si>
  <si>
    <t>Куст 812</t>
  </si>
  <si>
    <t>Куст 813</t>
  </si>
  <si>
    <t>Куст 814</t>
  </si>
  <si>
    <t>Куст 815</t>
  </si>
  <si>
    <t>Куст 816</t>
  </si>
  <si>
    <t>Куст 817</t>
  </si>
  <si>
    <t>Куст 818</t>
  </si>
  <si>
    <t>Куст 819</t>
  </si>
  <si>
    <t>Куст 820</t>
  </si>
  <si>
    <t>Куст 821</t>
  </si>
  <si>
    <t>Куст 822</t>
  </si>
  <si>
    <t>Куст 823</t>
  </si>
  <si>
    <t>Куст 824</t>
  </si>
  <si>
    <t>Куст 8-221</t>
  </si>
  <si>
    <t>Куст 8-225</t>
  </si>
  <si>
    <t>Куст 8-228</t>
  </si>
  <si>
    <t>Куст 8-229</t>
  </si>
  <si>
    <t>Куст 8-230</t>
  </si>
  <si>
    <t>Куст 8-231</t>
  </si>
  <si>
    <t>Куст 8-238</t>
  </si>
  <si>
    <t>Куст 8-239</t>
  </si>
  <si>
    <t>Куст 8-240</t>
  </si>
  <si>
    <t>Куст 8-241</t>
  </si>
  <si>
    <t>Куст 8-243</t>
  </si>
  <si>
    <t>Куст 8-247</t>
  </si>
  <si>
    <t>Куст 8-249</t>
  </si>
  <si>
    <t>Куст 8-253</t>
  </si>
  <si>
    <t>Куст 8-254</t>
  </si>
  <si>
    <t>Куст 8-255</t>
  </si>
  <si>
    <t>Куст 8-256</t>
  </si>
  <si>
    <t>Куст 8-257</t>
  </si>
  <si>
    <t>Куст 8-260</t>
  </si>
  <si>
    <t>Куст 8-261</t>
  </si>
  <si>
    <t>куст 8-262</t>
  </si>
  <si>
    <t>куст 8-264</t>
  </si>
  <si>
    <t>Куст 8-265</t>
  </si>
  <si>
    <t>Куст 8-266</t>
  </si>
  <si>
    <t>Куст 8-270</t>
  </si>
  <si>
    <t>Куст 8-275</t>
  </si>
  <si>
    <t>Куст 8-276</t>
  </si>
  <si>
    <t>Куст 8-279</t>
  </si>
  <si>
    <t>Куст 8-281</t>
  </si>
  <si>
    <t>Куст -32Н</t>
  </si>
  <si>
    <t>Куст 8-262</t>
  </si>
  <si>
    <t>Куст 8-264</t>
  </si>
  <si>
    <t>Куст 8-32Н</t>
  </si>
  <si>
    <t>УКПГ-9</t>
  </si>
  <si>
    <t>УКПГ-10</t>
  </si>
  <si>
    <t>УКПГ-11В</t>
  </si>
  <si>
    <t>УКПГ-11С</t>
  </si>
  <si>
    <t>УКПГ-12</t>
  </si>
  <si>
    <t>УКПГ-13</t>
  </si>
  <si>
    <t>УКПГ-15</t>
  </si>
  <si>
    <t>УКПГ-16</t>
  </si>
  <si>
    <t>УКПГ-22</t>
  </si>
  <si>
    <t>УКПГ-1</t>
  </si>
  <si>
    <t>УКПГ-2С</t>
  </si>
  <si>
    <t>УКПГ-4</t>
  </si>
  <si>
    <t>УКПГ-7</t>
  </si>
  <si>
    <t>УКПГ-5С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</si>
</sst>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14"/>
      <color theme="0"/>
      <name val="Calibri"/>
      <family val="2"/>
      <charset val="204"/>
      <scheme val="minor"/>
    </font>
    <font>
      <sz val="24"/>
      <color theme="3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93E480"/>
      </bottom>
      <diagonal/>
    </border>
    <border>
      <left style="thin">
        <color indexed="64"/>
      </left>
      <right style="thin">
        <color indexed="64"/>
      </right>
      <top style="thin">
        <color rgb="FF93E480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E898A3"/>
      </bottom>
      <diagonal/>
    </border>
    <border>
      <left style="thin">
        <color indexed="64"/>
      </left>
      <right style="thin">
        <color indexed="64"/>
      </right>
      <top style="thin">
        <color rgb="FFE898A3"/>
      </top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0" borderId="4" applyFont="0" applyFill="0">
      <alignment horizontal="center"/>
    </xf>
    <xf numFmtId="0" fontId="5" fillId="0" borderId="4" applyFont="0" applyFill="0">
      <alignment horizontal="center"/>
    </xf>
  </cellStyleXfs>
  <cellXfs count="104">
    <xf numFmtId="0" fontId="0" fillId="0" borderId="0" xfId="0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4" xfId="0" applyBorder="1" applyAlignment="1">
      <alignment horizontal="center"/>
    </xf>
    <xf numFmtId="0" fontId="0" fillId="0" borderId="6" xfId="0" applyBorder="1"/>
    <xf numFmtId="0" fontId="1" fillId="2" borderId="9" xfId="1" applyBorder="1" applyAlignment="1">
      <alignment horizontal="center"/>
    </xf>
    <xf numFmtId="0" fontId="1" fillId="2" borderId="4" xfId="1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1" fillId="2" borderId="0" xfId="1" applyAlignment="1">
      <alignment horizontal="center"/>
    </xf>
    <xf numFmtId="0" fontId="2" fillId="3" borderId="0" xfId="2"/>
    <xf numFmtId="0" fontId="2" fillId="3" borderId="9" xfId="2" applyBorder="1" applyAlignment="1">
      <alignment horizontal="center"/>
    </xf>
    <xf numFmtId="0" fontId="2" fillId="3" borderId="4" xfId="2" applyBorder="1" applyAlignment="1">
      <alignment horizontal="center"/>
    </xf>
    <xf numFmtId="0" fontId="2" fillId="3" borderId="0" xfId="2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/>
    <xf numFmtId="0" fontId="1" fillId="2" borderId="0" xfId="1"/>
    <xf numFmtId="0" fontId="2" fillId="3" borderId="4" xfId="2" applyBorder="1"/>
    <xf numFmtId="0" fontId="0" fillId="0" borderId="2" xfId="0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4" xfId="1" applyBorder="1"/>
    <xf numFmtId="0" fontId="0" fillId="0" borderId="6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/>
    <xf numFmtId="0" fontId="2" fillId="3" borderId="2" xfId="2" applyBorder="1" applyAlignment="1">
      <alignment horizontal="center"/>
    </xf>
    <xf numFmtId="0" fontId="0" fillId="0" borderId="0" xfId="0"/>
    <xf numFmtId="0" fontId="5" fillId="5" borderId="0" xfId="4"/>
    <xf numFmtId="0" fontId="5" fillId="5" borderId="4" xfId="4" applyBorder="1" applyAlignment="1">
      <alignment horizontal="center"/>
    </xf>
    <xf numFmtId="0" fontId="1" fillId="2" borderId="2" xfId="1" applyBorder="1" applyAlignment="1">
      <alignment horizontal="center"/>
    </xf>
    <xf numFmtId="0" fontId="5" fillId="5" borderId="2" xfId="4" applyBorder="1" applyAlignment="1">
      <alignment horizontal="center"/>
    </xf>
    <xf numFmtId="0" fontId="0" fillId="5" borderId="0" xfId="4" applyFont="1"/>
    <xf numFmtId="0" fontId="0" fillId="0" borderId="10" xfId="0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2" borderId="11" xfId="1" applyBorder="1" applyAlignment="1">
      <alignment horizontal="center"/>
    </xf>
    <xf numFmtId="0" fontId="0" fillId="0" borderId="0" xfId="0" applyAlignment="1"/>
    <xf numFmtId="0" fontId="0" fillId="0" borderId="4" xfId="5" applyFont="1">
      <alignment horizontal="center"/>
    </xf>
    <xf numFmtId="0" fontId="1" fillId="2" borderId="4" xfId="5" applyFont="1" applyFill="1">
      <alignment horizontal="center"/>
    </xf>
    <xf numFmtId="0" fontId="2" fillId="3" borderId="4" xfId="5" applyFont="1" applyFill="1">
      <alignment horizontal="center"/>
    </xf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0" fontId="0" fillId="6" borderId="0" xfId="0" applyFill="1"/>
    <xf numFmtId="0" fontId="0" fillId="7" borderId="0" xfId="0" applyFill="1"/>
    <xf numFmtId="0" fontId="8" fillId="7" borderId="0" xfId="0" applyFont="1" applyFill="1"/>
    <xf numFmtId="0" fontId="0" fillId="8" borderId="0" xfId="0" applyFill="1"/>
    <xf numFmtId="0" fontId="0" fillId="7" borderId="0" xfId="0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" xfId="5" applyFont="1" applyFill="1" applyBorder="1">
      <alignment horizontal="center"/>
    </xf>
    <xf numFmtId="0" fontId="0" fillId="0" borderId="4" xfId="5" applyFont="1" applyFill="1">
      <alignment horizontal="center"/>
    </xf>
    <xf numFmtId="0" fontId="0" fillId="0" borderId="10" xfId="5" applyFont="1" applyFill="1" applyBorder="1">
      <alignment horizontal="center"/>
    </xf>
    <xf numFmtId="0" fontId="0" fillId="0" borderId="6" xfId="5" applyFont="1" applyFill="1" applyBorder="1">
      <alignment horizontal="center"/>
    </xf>
    <xf numFmtId="0" fontId="0" fillId="0" borderId="4" xfId="5" applyFont="1" applyFill="1" applyBorder="1">
      <alignment horizontal="center"/>
    </xf>
    <xf numFmtId="0" fontId="10" fillId="0" borderId="0" xfId="0" applyFont="1"/>
    <xf numFmtId="0" fontId="0" fillId="0" borderId="0" xfId="0"/>
    <xf numFmtId="0" fontId="0" fillId="0" borderId="4" xfId="5" applyNumberFormat="1" applyFont="1" applyFill="1">
      <alignment horizontal="center"/>
    </xf>
    <xf numFmtId="0" fontId="1" fillId="2" borderId="4" xfId="5" applyNumberFormat="1" applyFont="1" applyFill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12" xfId="5" applyFont="1" applyFill="1" applyBorder="1">
      <alignment horizontal="center"/>
    </xf>
    <xf numFmtId="0" fontId="0" fillId="0" borderId="13" xfId="5" applyFont="1" applyFill="1" applyBorder="1">
      <alignment horizontal="center"/>
    </xf>
    <xf numFmtId="0" fontId="0" fillId="0" borderId="14" xfId="5" applyFont="1" applyFill="1" applyBorder="1">
      <alignment horizontal="center"/>
    </xf>
    <xf numFmtId="0" fontId="0" fillId="0" borderId="15" xfId="5" applyFont="1" applyFill="1" applyBorder="1">
      <alignment horizontal="center"/>
    </xf>
    <xf numFmtId="0" fontId="0" fillId="0" borderId="0" xfId="0"/>
    <xf numFmtId="0" fontId="0" fillId="0" borderId="0" xfId="5" applyFont="1" applyFill="1" applyBorder="1">
      <alignment horizontal="center"/>
    </xf>
    <xf numFmtId="0" fontId="0" fillId="0" borderId="0" xfId="0"/>
    <xf numFmtId="0" fontId="0" fillId="0" borderId="0" xfId="0"/>
    <xf numFmtId="0" fontId="4" fillId="0" borderId="3" xfId="0" applyFont="1" applyBorder="1" applyAlignment="1">
      <alignment horizontal="center"/>
    </xf>
    <xf numFmtId="0" fontId="0" fillId="0" borderId="0" xfId="0"/>
    <xf numFmtId="0" fontId="0" fillId="0" borderId="0" xfId="0"/>
    <xf numFmtId="0" fontId="11" fillId="0" borderId="0" xfId="0" applyFont="1" applyAlignment="1">
      <alignment horizontal="center"/>
    </xf>
    <xf numFmtId="0" fontId="0" fillId="0" borderId="0" xfId="0"/>
    <xf numFmtId="0" fontId="0" fillId="0" borderId="4" xfId="6" applyFont="1">
      <alignment horizontal="center"/>
    </xf>
    <xf numFmtId="0" fontId="1" fillId="2" borderId="4" xfId="6" applyFont="1" applyFill="1">
      <alignment horizontal="center"/>
    </xf>
    <xf numFmtId="0" fontId="2" fillId="3" borderId="4" xfId="6" applyFont="1" applyFill="1">
      <alignment horizontal="center"/>
    </xf>
    <xf numFmtId="0" fontId="0" fillId="0" borderId="4" xfId="6" applyFont="1" applyFill="1">
      <alignment horizontal="center"/>
    </xf>
    <xf numFmtId="0" fontId="0" fillId="0" borderId="0" xfId="0"/>
    <xf numFmtId="0" fontId="0" fillId="0" borderId="2" xfId="6" applyFont="1" applyFill="1" applyBorder="1">
      <alignment horizontal="center"/>
    </xf>
    <xf numFmtId="0" fontId="0" fillId="0" borderId="5" xfId="0" applyBorder="1" applyAlignment="1">
      <alignment horizontal="center"/>
    </xf>
    <xf numFmtId="0" fontId="0" fillId="0" borderId="4" xfId="5" applyFont="1" applyFill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/>
    <xf numFmtId="0" fontId="9" fillId="8" borderId="3" xfId="0" applyFont="1" applyFill="1" applyBorder="1" applyAlignment="1">
      <alignment horizontal="center"/>
    </xf>
    <xf numFmtId="0" fontId="6" fillId="8" borderId="3" xfId="0" applyFont="1" applyFill="1" applyBorder="1" applyAlignment="1">
      <alignment horizontal="center"/>
    </xf>
    <xf numFmtId="0" fontId="3" fillId="4" borderId="0" xfId="3" applyAlignment="1">
      <alignment horizontal="center"/>
    </xf>
    <xf numFmtId="0" fontId="1" fillId="2" borderId="6" xfId="1" applyBorder="1" applyAlignment="1">
      <alignment horizontal="center" vertical="center"/>
    </xf>
    <xf numFmtId="0" fontId="1" fillId="2" borderId="4" xfId="1" applyBorder="1" applyAlignment="1">
      <alignment horizontal="center" vertical="center"/>
    </xf>
    <xf numFmtId="0" fontId="3" fillId="4" borderId="7" xfId="3" applyBorder="1" applyAlignment="1">
      <alignment horizontal="center"/>
    </xf>
    <xf numFmtId="0" fontId="3" fillId="4" borderId="8" xfId="3" applyBorder="1" applyAlignment="1">
      <alignment horizontal="center"/>
    </xf>
    <xf numFmtId="0" fontId="3" fillId="4" borderId="3" xfId="3" applyBorder="1" applyAlignment="1">
      <alignment horizontal="center"/>
    </xf>
    <xf numFmtId="0" fontId="3" fillId="4" borderId="2" xfId="3" applyBorder="1" applyAlignment="1">
      <alignment horizontal="center"/>
    </xf>
    <xf numFmtId="0" fontId="3" fillId="4" borderId="1" xfId="3" applyBorder="1" applyAlignment="1">
      <alignment horizontal="center"/>
    </xf>
    <xf numFmtId="0" fontId="0" fillId="0" borderId="0" xfId="0"/>
    <xf numFmtId="0" fontId="1" fillId="2" borderId="2" xfId="1" applyBorder="1" applyAlignment="1">
      <alignment horizontal="center" vertical="center"/>
    </xf>
    <xf numFmtId="0" fontId="2" fillId="3" borderId="4" xfId="2" applyBorder="1" applyAlignment="1">
      <alignment horizontal="center" vertical="center"/>
    </xf>
  </cellXfs>
  <cellStyles count="7">
    <cellStyle name="20% — акцент5" xfId="4" builtinId="46"/>
    <cellStyle name="Нейтральный" xfId="3" builtinId="28"/>
    <cellStyle name="Обычный" xfId="0" builtinId="0"/>
    <cellStyle name="Плохой" xfId="2" builtinId="27"/>
    <cellStyle name="Стиль 2" xfId="5" xr:uid="{00000000-0005-0000-0000-000004000000}"/>
    <cellStyle name="Табл" xfId="6" xr:uid="{00000000-0005-0000-0000-000005000000}"/>
    <cellStyle name="Хороший" xfId="1" builtinId="26"/>
  </cellStyles>
  <dxfs count="12">
    <dxf>
      <numFmt numFmtId="0" formatCode="General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border diagonalUp="0" diagonalDown="0">
        <left/>
        <right/>
        <top/>
        <bottom/>
      </border>
    </dxf>
    <dxf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ill>
        <patternFill patternType="solid">
          <fgColor indexed="64"/>
          <bgColor theme="4" tint="-0.249977111117893"/>
        </patternFill>
      </fill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border diagonalUp="0" diagonalDown="0">
        <left/>
        <right/>
        <top/>
        <bottom/>
      </border>
    </dxf>
    <dxf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ill>
        <patternFill patternType="solid">
          <fgColor indexed="64"/>
          <bgColor theme="4" tint="-0.249977111117893"/>
        </patternFill>
      </fill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E898A3"/>
      <color rgb="FF93E4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1"/>
    </c:title>
    <c:autoTitleDeleted val="0"/>
    <c:plotArea>
      <c:layout>
        <c:manualLayout>
          <c:layoutTarget val="inner"/>
          <c:xMode val="edge"/>
          <c:yMode val="edge"/>
          <c:x val="0.13001400277733496"/>
          <c:y val="8.7290980095610204E-2"/>
          <c:w val="0.84802521562140376"/>
          <c:h val="0.80016238688883679"/>
        </c:manualLayout>
      </c:layout>
      <c:areaChart>
        <c:grouping val="standard"/>
        <c:varyColors val="0"/>
        <c:ser>
          <c:idx val="0"/>
          <c:order val="0"/>
          <c:tx>
            <c:strRef>
              <c:f>[0]!Название</c:f>
              <c:strCache>
                <c:ptCount val="1"/>
                <c:pt idx="0">
                  <c:v>УКПГ-2В  Куст 21</c:v>
                </c:pt>
              </c:strCache>
            </c:strRef>
          </c:tx>
          <c:dLbls>
            <c:delete val="1"/>
          </c:dLbls>
          <c:cat>
            <c:numRef>
              <c:f>[0]!ЗначенияХ</c:f>
              <c:numCache>
                <c:formatCode>General</c:formatCode>
                <c:ptCount val="24"/>
                <c:pt idx="0">
                  <c:v>0</c:v>
                </c:pt>
                <c:pt idx="1">
                  <c:v>34</c:v>
                </c:pt>
                <c:pt idx="2">
                  <c:v>170</c:v>
                </c:pt>
                <c:pt idx="3">
                  <c:v>214</c:v>
                </c:pt>
                <c:pt idx="4">
                  <c:v>393</c:v>
                </c:pt>
                <c:pt idx="5">
                  <c:v>471</c:v>
                </c:pt>
                <c:pt idx="6">
                  <c:v>572</c:v>
                </c:pt>
                <c:pt idx="7">
                  <c:v>701</c:v>
                </c:pt>
                <c:pt idx="8">
                  <c:v>800</c:v>
                </c:pt>
                <c:pt idx="9">
                  <c:v>986</c:v>
                </c:pt>
                <c:pt idx="10">
                  <c:v>1120</c:v>
                </c:pt>
                <c:pt idx="11">
                  <c:v>1225</c:v>
                </c:pt>
                <c:pt idx="12">
                  <c:v>1349</c:v>
                </c:pt>
                <c:pt idx="13">
                  <c:v>1442</c:v>
                </c:pt>
                <c:pt idx="14">
                  <c:v>1536</c:v>
                </c:pt>
                <c:pt idx="15">
                  <c:v>1669</c:v>
                </c:pt>
                <c:pt idx="16">
                  <c:v>1762</c:v>
                </c:pt>
                <c:pt idx="17">
                  <c:v>1897</c:v>
                </c:pt>
                <c:pt idx="18">
                  <c:v>2021</c:v>
                </c:pt>
                <c:pt idx="19">
                  <c:v>2109</c:v>
                </c:pt>
                <c:pt idx="20">
                  <c:v>2263</c:v>
                </c:pt>
                <c:pt idx="21">
                  <c:v>2320</c:v>
                </c:pt>
                <c:pt idx="22">
                  <c:v>2565</c:v>
                </c:pt>
                <c:pt idx="23">
                  <c:v>2749</c:v>
                </c:pt>
              </c:numCache>
            </c:numRef>
          </c:cat>
          <c:val>
            <c:numRef>
              <c:f>[0]!ЗначенияУ</c:f>
              <c:numCache>
                <c:formatCode>General</c:formatCode>
                <c:ptCount val="24"/>
                <c:pt idx="0">
                  <c:v>59.866</c:v>
                </c:pt>
                <c:pt idx="1">
                  <c:v>59.462000000000003</c:v>
                </c:pt>
                <c:pt idx="2">
                  <c:v>57.866999999999997</c:v>
                </c:pt>
                <c:pt idx="3">
                  <c:v>57.701999999999998</c:v>
                </c:pt>
                <c:pt idx="4">
                  <c:v>58.088000000000001</c:v>
                </c:pt>
                <c:pt idx="5">
                  <c:v>56.798999999999999</c:v>
                </c:pt>
                <c:pt idx="6">
                  <c:v>57.073</c:v>
                </c:pt>
                <c:pt idx="7">
                  <c:v>55.35</c:v>
                </c:pt>
                <c:pt idx="8">
                  <c:v>55.704000000000001</c:v>
                </c:pt>
                <c:pt idx="9">
                  <c:v>57.472999999999999</c:v>
                </c:pt>
                <c:pt idx="10">
                  <c:v>57.890999999999998</c:v>
                </c:pt>
                <c:pt idx="11">
                  <c:v>57.905000000000001</c:v>
                </c:pt>
                <c:pt idx="12">
                  <c:v>57.904000000000003</c:v>
                </c:pt>
                <c:pt idx="13">
                  <c:v>58.72</c:v>
                </c:pt>
                <c:pt idx="14">
                  <c:v>58.384999999999998</c:v>
                </c:pt>
                <c:pt idx="15">
                  <c:v>58.591999999999999</c:v>
                </c:pt>
                <c:pt idx="16">
                  <c:v>57.457000000000001</c:v>
                </c:pt>
                <c:pt idx="17">
                  <c:v>57.905999999999999</c:v>
                </c:pt>
                <c:pt idx="18">
                  <c:v>56.444000000000003</c:v>
                </c:pt>
                <c:pt idx="19">
                  <c:v>54.569000000000003</c:v>
                </c:pt>
                <c:pt idx="20">
                  <c:v>55.415999999999997</c:v>
                </c:pt>
                <c:pt idx="21">
                  <c:v>56.545999999999999</c:v>
                </c:pt>
                <c:pt idx="22">
                  <c:v>58.978999999999999</c:v>
                </c:pt>
                <c:pt idx="23">
                  <c:v>55.89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3B-4444-A57F-938A4E2A6B2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>
              <a:solidFill>
                <a:schemeClr val="bg1"/>
              </a:solidFill>
            </a:ln>
          </c:spPr>
        </c:dropLines>
        <c:axId val="173475888"/>
        <c:axId val="173471408"/>
      </c:areaChart>
      <c:catAx>
        <c:axId val="173475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Длина участка,м</a:t>
                </a:r>
              </a:p>
            </c:rich>
          </c:tx>
          <c:layout>
            <c:manualLayout>
              <c:xMode val="edge"/>
              <c:yMode val="edge"/>
              <c:x val="0.45907778797865861"/>
              <c:y val="0.9566481845300969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73471408"/>
        <c:crosses val="autoZero"/>
        <c:auto val="0"/>
        <c:lblAlgn val="ctr"/>
        <c:lblOffset val="100"/>
        <c:tickMarkSkip val="150"/>
        <c:noMultiLvlLbl val="1"/>
      </c:catAx>
      <c:valAx>
        <c:axId val="173471408"/>
        <c:scaling>
          <c:orientation val="minMax"/>
          <c:max val="80"/>
          <c:min val="0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Высотные </a:t>
                </a:r>
                <a:endParaRPr lang="en-US"/>
              </a:p>
              <a:p>
                <a:pPr>
                  <a:defRPr/>
                </a:pPr>
                <a:r>
                  <a:rPr lang="ru-RU"/>
                  <a:t>отметки,м</a:t>
                </a:r>
              </a:p>
            </c:rich>
          </c:tx>
          <c:layout>
            <c:manualLayout>
              <c:xMode val="edge"/>
              <c:yMode val="edge"/>
              <c:x val="1.3925152306353362E-2"/>
              <c:y val="0.441455162932219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73475888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УКПГ-2В Куст 2-065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001400277733496"/>
          <c:y val="8.7290980095610204E-2"/>
          <c:w val="0.84802521562140376"/>
          <c:h val="0.80016238688883679"/>
        </c:manualLayout>
      </c:layout>
      <c:areaChart>
        <c:grouping val="standard"/>
        <c:varyColors val="0"/>
        <c:ser>
          <c:idx val="0"/>
          <c:order val="0"/>
          <c:dLbls>
            <c:delete val="1"/>
          </c:dLbls>
          <c:cat>
            <c:numRef>
              <c:f>'УКПГ-2В'!$B$3:$B$26</c:f>
              <c:numCache>
                <c:formatCode>General</c:formatCode>
                <c:ptCount val="24"/>
                <c:pt idx="0">
                  <c:v>0</c:v>
                </c:pt>
                <c:pt idx="1">
                  <c:v>34</c:v>
                </c:pt>
                <c:pt idx="2">
                  <c:v>170</c:v>
                </c:pt>
                <c:pt idx="3">
                  <c:v>214</c:v>
                </c:pt>
                <c:pt idx="4">
                  <c:v>393</c:v>
                </c:pt>
                <c:pt idx="5">
                  <c:v>471</c:v>
                </c:pt>
                <c:pt idx="6">
                  <c:v>572</c:v>
                </c:pt>
                <c:pt idx="7">
                  <c:v>701</c:v>
                </c:pt>
                <c:pt idx="8">
                  <c:v>800</c:v>
                </c:pt>
                <c:pt idx="9">
                  <c:v>986</c:v>
                </c:pt>
                <c:pt idx="10">
                  <c:v>1120</c:v>
                </c:pt>
                <c:pt idx="11">
                  <c:v>1225</c:v>
                </c:pt>
                <c:pt idx="12">
                  <c:v>1349</c:v>
                </c:pt>
                <c:pt idx="13">
                  <c:v>1442</c:v>
                </c:pt>
                <c:pt idx="14">
                  <c:v>1536</c:v>
                </c:pt>
                <c:pt idx="15">
                  <c:v>1669</c:v>
                </c:pt>
                <c:pt idx="16">
                  <c:v>1762</c:v>
                </c:pt>
                <c:pt idx="17">
                  <c:v>1897</c:v>
                </c:pt>
                <c:pt idx="18">
                  <c:v>2021</c:v>
                </c:pt>
                <c:pt idx="19">
                  <c:v>2109</c:v>
                </c:pt>
                <c:pt idx="20">
                  <c:v>2263</c:v>
                </c:pt>
                <c:pt idx="21">
                  <c:v>2320</c:v>
                </c:pt>
                <c:pt idx="22">
                  <c:v>2565</c:v>
                </c:pt>
                <c:pt idx="23">
                  <c:v>2749</c:v>
                </c:pt>
              </c:numCache>
            </c:numRef>
          </c:cat>
          <c:val>
            <c:numRef>
              <c:f>'УКПГ-2В'!$C$3:$C$26</c:f>
              <c:numCache>
                <c:formatCode>General</c:formatCode>
                <c:ptCount val="24"/>
                <c:pt idx="0">
                  <c:v>59.866</c:v>
                </c:pt>
                <c:pt idx="1">
                  <c:v>59.462000000000003</c:v>
                </c:pt>
                <c:pt idx="2">
                  <c:v>57.866999999999997</c:v>
                </c:pt>
                <c:pt idx="3">
                  <c:v>57.701999999999998</c:v>
                </c:pt>
                <c:pt idx="4">
                  <c:v>58.088000000000001</c:v>
                </c:pt>
                <c:pt idx="5">
                  <c:v>56.798999999999999</c:v>
                </c:pt>
                <c:pt idx="6">
                  <c:v>57.073</c:v>
                </c:pt>
                <c:pt idx="7">
                  <c:v>55.35</c:v>
                </c:pt>
                <c:pt idx="8">
                  <c:v>55.704000000000001</c:v>
                </c:pt>
                <c:pt idx="9">
                  <c:v>57.472999999999999</c:v>
                </c:pt>
                <c:pt idx="10">
                  <c:v>57.890999999999998</c:v>
                </c:pt>
                <c:pt idx="11">
                  <c:v>57.905000000000001</c:v>
                </c:pt>
                <c:pt idx="12">
                  <c:v>57.904000000000003</c:v>
                </c:pt>
                <c:pt idx="13">
                  <c:v>58.72</c:v>
                </c:pt>
                <c:pt idx="14">
                  <c:v>58.384999999999998</c:v>
                </c:pt>
                <c:pt idx="15">
                  <c:v>58.591999999999999</c:v>
                </c:pt>
                <c:pt idx="16">
                  <c:v>57.457000000000001</c:v>
                </c:pt>
                <c:pt idx="17">
                  <c:v>57.905999999999999</c:v>
                </c:pt>
                <c:pt idx="18">
                  <c:v>56.444000000000003</c:v>
                </c:pt>
                <c:pt idx="19">
                  <c:v>54.569000000000003</c:v>
                </c:pt>
                <c:pt idx="20">
                  <c:v>55.415999999999997</c:v>
                </c:pt>
                <c:pt idx="21">
                  <c:v>56.545999999999999</c:v>
                </c:pt>
                <c:pt idx="22">
                  <c:v>58.978999999999999</c:v>
                </c:pt>
                <c:pt idx="23">
                  <c:v>55.89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66-4E33-A73F-6A911848897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>
              <a:solidFill>
                <a:schemeClr val="bg1"/>
              </a:solidFill>
            </a:ln>
          </c:spPr>
        </c:dropLines>
        <c:axId val="174393920"/>
        <c:axId val="174391680"/>
      </c:areaChart>
      <c:catAx>
        <c:axId val="174393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Длина участка,м</a:t>
                </a:r>
              </a:p>
            </c:rich>
          </c:tx>
          <c:layout>
            <c:manualLayout>
              <c:xMode val="edge"/>
              <c:yMode val="edge"/>
              <c:x val="0.45907778797865861"/>
              <c:y val="0.9566481845300969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74391680"/>
        <c:crosses val="autoZero"/>
        <c:auto val="0"/>
        <c:lblAlgn val="ctr"/>
        <c:lblOffset val="100"/>
        <c:tickMarkSkip val="150"/>
        <c:noMultiLvlLbl val="1"/>
      </c:catAx>
      <c:valAx>
        <c:axId val="174391680"/>
        <c:scaling>
          <c:orientation val="minMax"/>
          <c:max val="80"/>
          <c:min val="0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Высотные </a:t>
                </a:r>
                <a:endParaRPr lang="en-US"/>
              </a:p>
              <a:p>
                <a:pPr>
                  <a:defRPr/>
                </a:pPr>
                <a:r>
                  <a:rPr lang="ru-RU"/>
                  <a:t>отметки,м</a:t>
                </a:r>
              </a:p>
            </c:rich>
          </c:tx>
          <c:layout>
            <c:manualLayout>
              <c:xMode val="edge"/>
              <c:yMode val="edge"/>
              <c:x val="1.3925152306353362E-2"/>
              <c:y val="0.441455162932219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7439392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Расчет!$A$1" fmlaRange="УКПГ" noThreeD="1" sel="1" val="2"/>
</file>

<file path=xl/ctrlProps/ctrlProp2.xml><?xml version="1.0" encoding="utf-8"?>
<formControlPr xmlns="http://schemas.microsoft.com/office/spreadsheetml/2009/9/main" objectType="Drop" dropLines="29" dropStyle="combo" dx="16" fmlaLink="Расчет!$B$1" fmlaRange="Расчет!$AB$3:$AB$29" noThreeD="1" sel="4" val="0"/>
</file>

<file path=xl/ctrlProps/ctrlProp3.xml><?xml version="1.0" encoding="utf-8"?>
<formControlPr xmlns="http://schemas.microsoft.com/office/spreadsheetml/2009/9/main" objectType="Scroll" dx="16" fmlaLink="Расчет!$C$1" max="22" min="1" page="3"/>
</file>

<file path=xl/ctrlProps/ctrlProp4.xml><?xml version="1.0" encoding="utf-8"?>
<formControlPr xmlns="http://schemas.microsoft.com/office/spreadsheetml/2009/9/main" objectType="Drop" dropLines="29" dropStyle="combo" dx="16" fmlaLink="Расчет!$B$1" fmlaRange="Расчет!$AB$3:$AB$29" noThreeD="1" sel="4" val="0"/>
</file>

<file path=xl/ctrlProps/ctrlProp5.xml><?xml version="1.0" encoding="utf-8"?>
<formControlPr xmlns="http://schemas.microsoft.com/office/spreadsheetml/2009/9/main" objectType="Drop" dropStyle="combo" dx="16" fmlaLink="Расчет!$A$1" fmlaRange="УКПГ" noThreeD="1" sel="1" val="0"/>
</file>

<file path=xl/ctrlProps/ctrlProp6.xml><?xml version="1.0" encoding="utf-8"?>
<formControlPr xmlns="http://schemas.microsoft.com/office/spreadsheetml/2009/9/main" objectType="Scroll" dx="22" fmlaLink="Расчет!$C$1" max="22" min="1" page="1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47625</xdr:rowOff>
    </xdr:from>
    <xdr:to>
      <xdr:col>11</xdr:col>
      <xdr:colOff>38101</xdr:colOff>
      <xdr:row>26</xdr:row>
      <xdr:rowOff>35278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184150</xdr:rowOff>
        </xdr:from>
        <xdr:to>
          <xdr:col>5</xdr:col>
          <xdr:colOff>222250</xdr:colOff>
          <xdr:row>8</xdr:row>
          <xdr:rowOff>0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184150</xdr:rowOff>
        </xdr:from>
        <xdr:to>
          <xdr:col>5</xdr:col>
          <xdr:colOff>222250</xdr:colOff>
          <xdr:row>5</xdr:row>
          <xdr:rowOff>0</xdr:rowOff>
        </xdr:to>
        <xdr:sp macro="" textlink="">
          <xdr:nvSpPr>
            <xdr:cNvPr id="4099" name="Drop Dow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184150</xdr:rowOff>
        </xdr:from>
        <xdr:to>
          <xdr:col>11</xdr:col>
          <xdr:colOff>171450</xdr:colOff>
          <xdr:row>8</xdr:row>
          <xdr:rowOff>0</xdr:rowOff>
        </xdr:to>
        <xdr:sp macro="" textlink="">
          <xdr:nvSpPr>
            <xdr:cNvPr id="4100" name="Scroll Bar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603250</xdr:colOff>
          <xdr:row>4</xdr:row>
          <xdr:rowOff>0</xdr:rowOff>
        </xdr:from>
        <xdr:to>
          <xdr:col>5</xdr:col>
          <xdr:colOff>285750</xdr:colOff>
          <xdr:row>5</xdr:row>
          <xdr:rowOff>12700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6</xdr:row>
          <xdr:rowOff>184150</xdr:rowOff>
        </xdr:from>
        <xdr:to>
          <xdr:col>5</xdr:col>
          <xdr:colOff>304800</xdr:colOff>
          <xdr:row>8</xdr:row>
          <xdr:rowOff>0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104775</xdr:colOff>
      <xdr:row>9</xdr:row>
      <xdr:rowOff>0</xdr:rowOff>
    </xdr:from>
    <xdr:to>
      <xdr:col>11</xdr:col>
      <xdr:colOff>9526</xdr:colOff>
      <xdr:row>25</xdr:row>
      <xdr:rowOff>95250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4</xdr:row>
          <xdr:rowOff>0</xdr:rowOff>
        </xdr:from>
        <xdr:to>
          <xdr:col>11</xdr:col>
          <xdr:colOff>184150</xdr:colOff>
          <xdr:row>7</xdr:row>
          <xdr:rowOff>228600</xdr:rowOff>
        </xdr:to>
        <xdr:sp macro="" textlink="">
          <xdr:nvSpPr>
            <xdr:cNvPr id="5127" name="Scroll Bar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I5:K8" totalsRowShown="0" headerRowDxfId="11" dataDxfId="10" tableBorderDxfId="9">
  <autoFilter ref="I5:K8" xr:uid="{00000000-0009-0000-0100-000001000000}"/>
  <tableColumns count="3">
    <tableColumn id="3" xr3:uid="{00000000-0010-0000-0000-000003000000}" name="Примечания" dataDxfId="8">
      <calculatedColumnFormula>IF(OFFSET(OFFSET(INDIRECT(CONCATENATE("'",INDEX(Расчет!$B$3:$Z$3,Расчет!$B$1),"'","!","A2")),Расчет!AE1-1,3*Расчет!$A$1-3),Расчет!$C$1,0)=0,"",OFFSET(OFFSET(INDIRECT(CONCATENATE("'",INDEX(Расчет!$B$3:$Z$3,Расчет!$B$1),"'","!","A2")),Расчет!AE1-1,3*Расчет!$A$1-3),Расчет!$C$1,0))</calculatedColumnFormula>
    </tableColumn>
    <tableColumn id="1" xr3:uid="{00000000-0010-0000-0000-000001000000}" name="Длина" dataDxfId="7">
      <calculatedColumnFormula>OFFSET(OFFSET(INDIRECT(CONCATENATE("'",INDEX(Расчет!$B$3:$Z$3,Расчет!$B$1),"'","!","B2")),Расчет!AE1-1,3*Расчет!$A$1-3),Расчет!$C$1,0)</calculatedColumnFormula>
    </tableColumn>
    <tableColumn id="2" xr3:uid="{00000000-0010-0000-0000-000002000000}" name="Высота" dataDxfId="6">
      <calculatedColumnFormula>OFFSET(OFFSET(INDIRECT(CONCATENATE("'",INDEX(Расчет!$B$3:$Z$3,Расчет!$B$1),"'","!","C2")),Расчет!AE1-1,3*Расчет!$A$1-3),Расчет!$C$1,0)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Таблица13" displayName="Таблица13" ref="I5:K8" totalsRowShown="0" headerRowDxfId="5" dataDxfId="4" tableBorderDxfId="3">
  <autoFilter ref="I5:K8" xr:uid="{00000000-0009-0000-0100-000002000000}"/>
  <tableColumns count="3">
    <tableColumn id="3" xr3:uid="{00000000-0010-0000-0100-000003000000}" name="Примечания" dataDxfId="2">
      <calculatedColumnFormula>IF(OFFSET(OFFSET(INDIRECT(CONCATENATE("'",INDEX(Расчет!$B$3:$Z$3,Расчет!$B$1),"'","!","A2")),Расчет!AE1-1,3*Расчет!$A$1-3),Расчет!$C$1,0)=0,"",OFFSET(OFFSET(INDIRECT(CONCATENATE("'",INDEX(Расчет!$B$3:$Z$3,Расчет!$B$1),"'","!","A2")),Расчет!AE1-1,3*Расчет!$A$1-3),Расчет!$C$1,0))</calculatedColumnFormula>
    </tableColumn>
    <tableColumn id="1" xr3:uid="{00000000-0010-0000-0100-000001000000}" name="Длина" dataDxfId="1">
      <calculatedColumnFormula>OFFSET(OFFSET(INDIRECT(CONCATENATE("'",INDEX(Расчет!$B$3:$Z$3,Расчет!$B$1),"'","!","B2")),Расчет!AE1-1,3*Расчет!$A$1-3),Расчет!$C$1,0)</calculatedColumnFormula>
    </tableColumn>
    <tableColumn id="2" xr3:uid="{00000000-0010-0000-0100-000002000000}" name="Высота" dataDxfId="0">
      <calculatedColumnFormula>OFFSET(OFFSET(INDIRECT(CONCATENATE("'",INDEX(Расчет!$B$3:$Z$3,Расчет!$B$1),"'","!","C2")),Расчет!AE1-1,3*Расчет!$A$1-3),Расчет!$C$1,0)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T54"/>
  <sheetViews>
    <sheetView showGridLines="0" zoomScale="90" zoomScaleNormal="90" workbookViewId="0">
      <selection activeCell="L33" sqref="L33"/>
    </sheetView>
  </sheetViews>
  <sheetFormatPr defaultColWidth="0" defaultRowHeight="14.5" zeroHeight="1" x14ac:dyDescent="0.35"/>
  <cols>
    <col min="1" max="1" width="3.7265625" customWidth="1"/>
    <col min="2" max="6" width="10.26953125" bestFit="1" customWidth="1"/>
    <col min="7" max="7" width="16.81640625" customWidth="1"/>
    <col min="8" max="8" width="12.26953125" customWidth="1"/>
    <col min="9" max="9" width="17.81640625" customWidth="1"/>
    <col min="10" max="10" width="11.54296875" customWidth="1"/>
    <col min="11" max="11" width="11.81640625" customWidth="1"/>
    <col min="12" max="12" width="7.7265625" customWidth="1"/>
    <col min="13" max="20" width="0" hidden="1" customWidth="1"/>
    <col min="21" max="16384" width="9.1796875" hidden="1"/>
  </cols>
  <sheetData>
    <row r="1" spans="1:12" x14ac:dyDescent="0.35"/>
    <row r="2" spans="1:12" s="43" customFormat="1" ht="31" x14ac:dyDescent="0.7">
      <c r="A2" s="46"/>
      <c r="B2" s="91" t="s">
        <v>112</v>
      </c>
      <c r="C2" s="92"/>
      <c r="D2" s="92"/>
      <c r="E2" s="92"/>
      <c r="F2" s="92"/>
      <c r="G2" s="92"/>
      <c r="H2" s="92"/>
      <c r="I2" s="92"/>
      <c r="J2" s="92"/>
      <c r="K2" s="92"/>
      <c r="L2" s="46"/>
    </row>
    <row r="3" spans="1:12" x14ac:dyDescent="0.35"/>
    <row r="4" spans="1:12" x14ac:dyDescent="0.35"/>
    <row r="5" spans="1:12" ht="18.5" x14ac:dyDescent="0.45">
      <c r="B5" s="45" t="s">
        <v>113</v>
      </c>
      <c r="C5" s="44"/>
      <c r="D5" s="44"/>
      <c r="I5" s="47" t="s">
        <v>115</v>
      </c>
      <c r="J5" s="47" t="s">
        <v>107</v>
      </c>
      <c r="K5" s="47" t="s">
        <v>108</v>
      </c>
    </row>
    <row r="6" spans="1:12" x14ac:dyDescent="0.35">
      <c r="I6" s="48" t="str">
        <f ca="1">IF(OFFSET(OFFSET(INDIRECT(CONCATENATE("'",INDEX(Расчет!$B$3:$Z$3,Расчет!$B$1),"'","!","A2")),Расчет!AE1-1,3*Расчет!$A$1-3),Расчет!$C$1,0)=0,"",OFFSET(OFFSET(INDIRECT(CONCATENATE("'",INDEX(Расчет!$B$3:$Z$3,Расчет!$B$1),"'","!","A2")),Расчет!AE1-1,3*Расчет!$A$1-3),Расчет!$C$1,0))</f>
        <v/>
      </c>
      <c r="J6" s="49">
        <f ca="1">OFFSET(OFFSET(INDIRECT(CONCATENATE("'",INDEX(Расчет!$B$3:$Z$3,Расчет!$B$1),"'","!","B2")),Расчет!AE1-1,3*Расчет!$A$1-3),Расчет!$C$1,0)</f>
        <v>0</v>
      </c>
      <c r="K6" s="49">
        <f ca="1">OFFSET(OFFSET(INDIRECT(CONCATENATE("'",INDEX(Расчет!$B$3:$Z$3,Расчет!$B$1),"'","!","C2")),Расчет!AE1-1,3*Расчет!$A$1-3),Расчет!$C$1,0)</f>
        <v>59.866</v>
      </c>
    </row>
    <row r="7" spans="1:12" x14ac:dyDescent="0.35">
      <c r="I7" s="50" t="str">
        <f ca="1">IF(OFFSET(OFFSET(INDIRECT(CONCATENATE("'",INDEX(Расчет!$B$3:$Z$3,Расчет!$B$1),"'","!","A2")),Расчет!AE2-1,3*Расчет!$A$1-3),Расчет!$C$1,0)=0,"",OFFSET(OFFSET(INDIRECT(CONCATENATE("'",INDEX(Расчет!$B$3:$Z$3,Расчет!$B$1),"'","!","A2")),Расчет!AE2-1,3*Расчет!$A$1-3),Расчет!$C$1,0))</f>
        <v/>
      </c>
      <c r="J7" s="51">
        <f ca="1">OFFSET(OFFSET(INDIRECT(CONCATENATE("'",INDEX(Расчет!$B$3:$Z$3,Расчет!$B$1),"'","!","B2")),Расчет!AE2-1,3*Расчет!$A$1-3),Расчет!$C$1,0)</f>
        <v>34</v>
      </c>
      <c r="K7" s="51">
        <f ca="1">OFFSET(OFFSET(INDIRECT(CONCATENATE("'",INDEX(Расчет!$B$3:$Z$3,Расчет!$B$1),"'","!","C2")),Расчет!AE2-1,3*Расчет!$A$1-3),Расчет!$C$1,0)</f>
        <v>59.462000000000003</v>
      </c>
    </row>
    <row r="8" spans="1:12" ht="18.5" x14ac:dyDescent="0.45">
      <c r="B8" s="45" t="s">
        <v>114</v>
      </c>
      <c r="C8" s="44"/>
      <c r="D8" s="44"/>
      <c r="I8" s="48" t="str">
        <f ca="1">IF(OFFSET(OFFSET(INDIRECT(CONCATENATE("'",INDEX(Расчет!$B$3:$Z$3,Расчет!$B$1),"'","!","A2")),Расчет!AE3-1,3*Расчет!$A$1-3),Расчет!$C$1,0)=0,"",OFFSET(OFFSET(INDIRECT(CONCATENATE("'",INDEX(Расчет!$B$3:$Z$3,Расчет!$B$1),"'","!","A2")),Расчет!AE3-1,3*Расчет!$A$1-3),Расчет!$C$1,0))</f>
        <v/>
      </c>
      <c r="J8" s="49">
        <f ca="1">OFFSET(OFFSET(INDIRECT(CONCATENATE("'",INDEX(Расчет!$B$3:$Z$3,Расчет!$B$1),"'","!","B2")),Расчет!AE3-1,3*Расчет!$A$1-3),Расчет!$C$1,0)</f>
        <v>170</v>
      </c>
      <c r="K8" s="49">
        <f ca="1">OFFSET(OFFSET(INDIRECT(CONCATENATE("'",INDEX(Расчет!$B$3:$Z$3,Расчет!$B$1),"'","!","C2")),Расчет!AE3-1,3*Расчет!$A$1-3),Расчет!$C$1,0)</f>
        <v>57.866999999999997</v>
      </c>
    </row>
    <row r="9" spans="1:12" s="41" customFormat="1" ht="15.75" customHeight="1" x14ac:dyDescent="0.35">
      <c r="B9" s="42"/>
      <c r="I9"/>
      <c r="J9"/>
      <c r="K9"/>
    </row>
    <row r="10" spans="1:12" x14ac:dyDescent="0.35"/>
    <row r="11" spans="1:12" x14ac:dyDescent="0.35"/>
    <row r="12" spans="1:12" x14ac:dyDescent="0.35"/>
    <row r="13" spans="1:12" x14ac:dyDescent="0.35"/>
    <row r="14" spans="1:12" x14ac:dyDescent="0.35"/>
    <row r="15" spans="1:12" x14ac:dyDescent="0.35"/>
    <row r="16" spans="1:12" x14ac:dyDescent="0.35"/>
    <row r="17" spans="5:5" x14ac:dyDescent="0.35"/>
    <row r="18" spans="5:5" x14ac:dyDescent="0.35"/>
    <row r="19" spans="5:5" x14ac:dyDescent="0.35"/>
    <row r="20" spans="5:5" x14ac:dyDescent="0.35"/>
    <row r="21" spans="5:5" x14ac:dyDescent="0.35"/>
    <row r="22" spans="5:5" x14ac:dyDescent="0.35">
      <c r="E22" s="28"/>
    </row>
    <row r="23" spans="5:5" x14ac:dyDescent="0.35"/>
    <row r="24" spans="5:5" x14ac:dyDescent="0.35"/>
    <row r="25" spans="5:5" x14ac:dyDescent="0.35"/>
    <row r="26" spans="5:5" x14ac:dyDescent="0.35"/>
    <row r="27" spans="5:5" x14ac:dyDescent="0.35"/>
    <row r="28" spans="5:5" x14ac:dyDescent="0.35"/>
    <row r="29" spans="5:5" x14ac:dyDescent="0.35"/>
    <row r="30" spans="5:5" x14ac:dyDescent="0.35"/>
    <row r="31" spans="5:5" x14ac:dyDescent="0.35"/>
    <row r="32" spans="5:5" x14ac:dyDescent="0.35"/>
    <row r="33" spans="2:7" x14ac:dyDescent="0.35"/>
    <row r="34" spans="2:7" x14ac:dyDescent="0.35"/>
    <row r="35" spans="2:7" x14ac:dyDescent="0.35"/>
    <row r="36" spans="2:7" x14ac:dyDescent="0.35">
      <c r="B36" s="28"/>
    </row>
    <row r="37" spans="2:7" x14ac:dyDescent="0.35"/>
    <row r="38" spans="2:7" x14ac:dyDescent="0.35"/>
    <row r="39" spans="2:7" x14ac:dyDescent="0.35"/>
    <row r="40" spans="2:7" x14ac:dyDescent="0.35">
      <c r="G40" t="str">
        <f>IF('УКПГ-1АВ'!A2=0,"",'УКПГ-1АВ'!A2)</f>
        <v/>
      </c>
    </row>
    <row r="45" spans="2:7" hidden="1" x14ac:dyDescent="0.35">
      <c r="B45" t="str">
        <f ca="1">IF(OFFSET(OFFSET(INDIRECT(CONCATENATE("'",INDEX(Расчет!$B$3:$H$3,Расчет!$B$1),"'","!","A2")),Расчет!N1-1,3*Расчет!$A$1-3),Расчет!$C$1,0)=0,"",OFFSET(OFFSET(INDIRECT(CONCATENATE("'",INDEX(Расчет!$B$3:$H$3,Расчет!$B$1),"'","!","A2")),Расчет!N1-1,3*Расчет!$A$1-3),Расчет!$C$1,0))</f>
        <v/>
      </c>
      <c r="D45" s="28"/>
    </row>
    <row r="46" spans="2:7" hidden="1" x14ac:dyDescent="0.35">
      <c r="B46" s="28" t="str">
        <f ca="1">IF(OFFSET(OFFSET(INDIRECT(CONCATENATE("'",INDEX(Расчет!$B$3:$H$3,Расчет!$B$1),"'","!","A2")),Расчет!N2-1,3*Расчет!$A$1-3),Расчет!$C$1,0)=0,"",OFFSET(OFFSET(INDIRECT(CONCATENATE("'",INDEX(Расчет!$B$3:$H$3,Расчет!$B$1),"'","!","A2")),Расчет!N2-1,3*Расчет!$A$1-3),Расчет!$C$1,0))</f>
        <v/>
      </c>
      <c r="C46" s="28"/>
      <c r="D46" s="28"/>
    </row>
    <row r="47" spans="2:7" hidden="1" x14ac:dyDescent="0.35">
      <c r="B47" s="28" t="e">
        <f ca="1">IF(OFFSET(OFFSET(INDIRECT(CONCATENATE("'",INDEX(Расчет!$B$3:$H$3,Расчет!$B$1),"'","!","A2")),Расчет!P3-1,3*Расчет!$A$1-3),Расчет!$C$1,0)=0,"",OFFSET(OFFSET(INDIRECT(CONCATENATE("'",INDEX(Расчет!$B$3:$H$3,Расчет!$B$1),"'","!","A2")),Расчет!P3-1,3*Расчет!$A$1-3),Расчет!$C$1,0))</f>
        <v>#VALUE!</v>
      </c>
      <c r="C47" s="28"/>
      <c r="D47" s="28"/>
    </row>
    <row r="48" spans="2:7" hidden="1" x14ac:dyDescent="0.35">
      <c r="B48" s="28" t="str">
        <f ca="1">IF(OFFSET(OFFSET(INDIRECT(CONCATENATE("'",INDEX(Расчет!$B$3:$H$3,Расчет!$B$1),"'","!","A2")),Расчет!P4-1,3*Расчет!$A$1-3),Расчет!$C$1,0)=0,"",OFFSET(OFFSET(INDIRECT(CONCATENATE("'",INDEX(Расчет!$B$3:$H$3,Расчет!$B$1),"'","!","A2")),Расчет!P4-1,3*Расчет!$A$1-3),Расчет!$C$1,0))</f>
        <v/>
      </c>
      <c r="C48" s="28"/>
      <c r="D48" s="28"/>
    </row>
    <row r="49" spans="2:4" hidden="1" x14ac:dyDescent="0.35">
      <c r="B49" s="28" t="str">
        <f ca="1">IF(OFFSET(OFFSET(INDIRECT(CONCATENATE("'",INDEX(Расчет!$B$3:$H$3,Расчет!$B$1),"'","!","A2")),Расчет!P5-1,3*Расчет!$A$1-3),Расчет!$C$1,0)=0,"",OFFSET(OFFSET(INDIRECT(CONCATENATE("'",INDEX(Расчет!$B$3:$H$3,Расчет!$B$1),"'","!","A2")),Расчет!P5-1,3*Расчет!$A$1-3),Расчет!$C$1,0))</f>
        <v/>
      </c>
      <c r="C49" s="28"/>
      <c r="D49" s="28"/>
    </row>
    <row r="50" spans="2:4" hidden="1" x14ac:dyDescent="0.35">
      <c r="B50" s="28" t="str">
        <f ca="1">IF(OFFSET(OFFSET(INDIRECT(CONCATENATE("'",INDEX(Расчет!$B$3:$H$3,Расчет!$B$1),"'","!","A2")),Расчет!P6-1,3*Расчет!$A$1-3),Расчет!$C$1,0)=0,"",OFFSET(OFFSET(INDIRECT(CONCATENATE("'",INDEX(Расчет!$B$3:$H$3,Расчет!$B$1),"'","!","A2")),Расчет!P6-1,3*Расчет!$A$1-3),Расчет!$C$1,0))</f>
        <v/>
      </c>
      <c r="C50" s="28"/>
      <c r="D50" s="28"/>
    </row>
    <row r="51" spans="2:4" hidden="1" x14ac:dyDescent="0.35">
      <c r="B51" s="28" t="str">
        <f ca="1">IF(OFFSET(OFFSET(INDIRECT(CONCATENATE("'",INDEX(Расчет!$B$3:$H$3,Расчет!$B$1),"'","!","A2")),Расчет!P7-1,3*Расчет!$A$1-3),Расчет!$C$1,0)=0,"",OFFSET(OFFSET(INDIRECT(CONCATENATE("'",INDEX(Расчет!$B$3:$H$3,Расчет!$B$1),"'","!","A2")),Расчет!P7-1,3*Расчет!$A$1-3),Расчет!$C$1,0))</f>
        <v/>
      </c>
      <c r="C51" s="28"/>
      <c r="D51" s="28"/>
    </row>
    <row r="52" spans="2:4" hidden="1" x14ac:dyDescent="0.35">
      <c r="B52" s="28" t="str">
        <f ca="1">IF(OFFSET(OFFSET(INDIRECT(CONCATENATE("'",INDEX(Расчет!$B$3:$H$3,Расчет!$B$1),"'","!","A2")),Расчет!P8-1,3*Расчет!$A$1-3),Расчет!$C$1,0)=0,"",OFFSET(OFFSET(INDIRECT(CONCATENATE("'",INDEX(Расчет!$B$3:$H$3,Расчет!$B$1),"'","!","A2")),Расчет!P8-1,3*Расчет!$A$1-3),Расчет!$C$1,0))</f>
        <v/>
      </c>
      <c r="C52" s="28"/>
      <c r="D52" s="28"/>
    </row>
    <row r="53" spans="2:4" hidden="1" x14ac:dyDescent="0.35">
      <c r="B53" s="28" t="str">
        <f ca="1">IF(OFFSET(OFFSET(INDIRECT(CONCATENATE("'",INDEX(Расчет!$B$3:$H$3,Расчет!$B$1),"'","!","A2")),Расчет!P9-1,3*Расчет!$A$1-3),Расчет!$C$1,0)=0,"",OFFSET(OFFSET(INDIRECT(CONCATENATE("'",INDEX(Расчет!$B$3:$H$3,Расчет!$B$1),"'","!","A2")),Расчет!P9-1,3*Расчет!$A$1-3),Расчет!$C$1,0))</f>
        <v/>
      </c>
      <c r="C53" s="28"/>
      <c r="D53" s="28"/>
    </row>
    <row r="54" spans="2:4" hidden="1" x14ac:dyDescent="0.35">
      <c r="B54" s="28" t="str">
        <f ca="1">IF(OFFSET(OFFSET(INDIRECT(CONCATENATE("'",INDEX(Расчет!$B$3:$H$3,Расчет!$B$1),"'","!","A2")),Расчет!P10-1,3*Расчет!$A$1-3),Расчет!$C$1,0)=0,"",OFFSET(OFFSET(INDIRECT(CONCATENATE("'",INDEX(Расчет!$B$3:$H$3,Расчет!$B$1),"'","!","A2")),Расчет!P10-1,3*Расчет!$A$1-3),Расчет!$C$1,0))</f>
        <v/>
      </c>
      <c r="C54" s="28"/>
      <c r="D54" s="28"/>
    </row>
  </sheetData>
  <sheetProtection formatCells="0" formatColumns="0" formatRows="0" insertColumns="0" selectLockedCells="1" selectUnlockedCells="1"/>
  <mergeCells count="1">
    <mergeCell ref="B2:K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rop Down 1">
              <controlPr defaultSize="0" autoLine="0" autoPict="0" macro="[0]!Tabl">
                <anchor moveWithCells="1">
                  <from>
                    <xdr:col>4</xdr:col>
                    <xdr:colOff>0</xdr:colOff>
                    <xdr:row>6</xdr:row>
                    <xdr:rowOff>184150</xdr:rowOff>
                  </from>
                  <to>
                    <xdr:col>5</xdr:col>
                    <xdr:colOff>222250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Drop Down 3">
              <controlPr defaultSize="0" autoLine="0" autoPict="0" macro="[0]!sbros">
                <anchor moveWithCells="1">
                  <from>
                    <xdr:col>4</xdr:col>
                    <xdr:colOff>0</xdr:colOff>
                    <xdr:row>3</xdr:row>
                    <xdr:rowOff>184150</xdr:rowOff>
                  </from>
                  <to>
                    <xdr:col>5</xdr:col>
                    <xdr:colOff>222250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Scroll Bar 4">
              <controlPr defaultSize="0" autoPict="0">
                <anchor moveWithCells="1">
                  <from>
                    <xdr:col>11</xdr:col>
                    <xdr:colOff>0</xdr:colOff>
                    <xdr:row>3</xdr:row>
                    <xdr:rowOff>184150</xdr:rowOff>
                  </from>
                  <to>
                    <xdr:col>11</xdr:col>
                    <xdr:colOff>171450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3"/>
  <dimension ref="A1:L40"/>
  <sheetViews>
    <sheetView showGridLines="0" tabSelected="1" workbookViewId="0">
      <selection activeCell="H29" sqref="H29"/>
    </sheetView>
  </sheetViews>
  <sheetFormatPr defaultColWidth="0" defaultRowHeight="14.5" zeroHeight="1" x14ac:dyDescent="0.35"/>
  <cols>
    <col min="1" max="8" width="9.1796875" customWidth="1"/>
    <col min="9" max="9" width="18.81640625" customWidth="1"/>
    <col min="10" max="10" width="12" customWidth="1"/>
    <col min="11" max="11" width="13.54296875" customWidth="1"/>
    <col min="12" max="12" width="9.1796875" customWidth="1"/>
    <col min="13" max="16384" width="9.1796875" hidden="1"/>
  </cols>
  <sheetData>
    <row r="1" spans="2:11" x14ac:dyDescent="0.35"/>
    <row r="2" spans="2:11" ht="31" x14ac:dyDescent="0.7">
      <c r="B2" s="91" t="s">
        <v>112</v>
      </c>
      <c r="C2" s="92"/>
      <c r="D2" s="92"/>
      <c r="E2" s="92"/>
      <c r="F2" s="92"/>
      <c r="G2" s="92"/>
      <c r="H2" s="92"/>
      <c r="I2" s="92"/>
      <c r="J2" s="92"/>
      <c r="K2" s="92"/>
    </row>
    <row r="3" spans="2:11" x14ac:dyDescent="0.35"/>
    <row r="4" spans="2:11" x14ac:dyDescent="0.35"/>
    <row r="5" spans="2:11" ht="18.5" x14ac:dyDescent="0.45">
      <c r="B5" s="45" t="s">
        <v>113</v>
      </c>
      <c r="C5" s="44"/>
      <c r="D5" s="44"/>
      <c r="I5" s="47" t="s">
        <v>115</v>
      </c>
      <c r="J5" s="47" t="s">
        <v>107</v>
      </c>
      <c r="K5" s="47" t="s">
        <v>108</v>
      </c>
    </row>
    <row r="6" spans="2:11" x14ac:dyDescent="0.35">
      <c r="I6" s="48" t="str">
        <f ca="1">IF(OFFSET(OFFSET(INDIRECT(CONCATENATE("'",INDEX(Расчет!$B$3:$Z$3,Расчет!$B$1),"'","!","A2")),Расчет!AE1-1,3*Расчет!$A$1-3),Расчет!$C$1,0)=0,"",OFFSET(OFFSET(INDIRECT(CONCATENATE("'",INDEX(Расчет!$B$3:$Z$3,Расчет!$B$1),"'","!","A2")),Расчет!AE1-1,3*Расчет!$A$1-3),Расчет!$C$1,0))</f>
        <v/>
      </c>
      <c r="J6" s="49">
        <f ca="1">OFFSET(OFFSET(INDIRECT(CONCATENATE("'",INDEX(Расчет!$B$3:$Z$3,Расчет!$B$1),"'","!","B2")),Расчет!AE1-1,3*Расчет!$A$1-3),Расчет!$C$1,0)</f>
        <v>0</v>
      </c>
      <c r="K6" s="49">
        <f ca="1">OFFSET(OFFSET(INDIRECT(CONCATENATE("'",INDEX(Расчет!$B$3:$Z$3,Расчет!$B$1),"'","!","C2")),Расчет!AE1-1,3*Расчет!$A$1-3),Расчет!$C$1,0)</f>
        <v>59.866</v>
      </c>
    </row>
    <row r="7" spans="2:11" x14ac:dyDescent="0.35">
      <c r="I7" s="50" t="str">
        <f ca="1">IF(OFFSET(OFFSET(INDIRECT(CONCATENATE("'",INDEX(Расчет!$B$3:$Z$3,Расчет!$B$1),"'","!","A2")),Расчет!AE2-1,3*Расчет!$A$1-3),Расчет!$C$1,0)=0,"",OFFSET(OFFSET(INDIRECT(CONCATENATE("'",INDEX(Расчет!$B$3:$Z$3,Расчет!$B$1),"'","!","A2")),Расчет!AE2-1,3*Расчет!$A$1-3),Расчет!$C$1,0))</f>
        <v/>
      </c>
      <c r="J7" s="51">
        <f ca="1">OFFSET(OFFSET(INDIRECT(CONCATENATE("'",INDEX(Расчет!$B$3:$Z$3,Расчет!$B$1),"'","!","B2")),Расчет!AE2-1,3*Расчет!$A$1-3),Расчет!$C$1,0)</f>
        <v>34</v>
      </c>
      <c r="K7" s="51">
        <f ca="1">OFFSET(OFFSET(INDIRECT(CONCATENATE("'",INDEX(Расчет!$B$3:$Z$3,Расчет!$B$1),"'","!","C2")),Расчет!AE2-1,3*Расчет!$A$1-3),Расчет!$C$1,0)</f>
        <v>59.462000000000003</v>
      </c>
    </row>
    <row r="8" spans="2:11" ht="18.5" x14ac:dyDescent="0.45">
      <c r="B8" s="45" t="s">
        <v>114</v>
      </c>
      <c r="C8" s="44"/>
      <c r="D8" s="44"/>
      <c r="I8" s="48" t="str">
        <f ca="1">IF(OFFSET(OFFSET(INDIRECT(CONCATENATE("'",INDEX(Расчет!$B$3:$Z$3,Расчет!$B$1),"'","!","A2")),Расчет!AE3-1,3*Расчет!$A$1-3),Расчет!$C$1,0)=0,"",OFFSET(OFFSET(INDIRECT(CONCATENATE("'",INDEX(Расчет!$B$3:$Z$3,Расчет!$B$1),"'","!","A2")),Расчет!AE3-1,3*Расчет!$A$1-3),Расчет!$C$1,0))</f>
        <v/>
      </c>
      <c r="J8" s="49">
        <f ca="1">OFFSET(OFFSET(INDIRECT(CONCATENATE("'",INDEX(Расчет!$B$3:$Z$3,Расчет!$B$1),"'","!","B2")),Расчет!AE3-1,3*Расчет!$A$1-3),Расчет!$C$1,0)</f>
        <v>170</v>
      </c>
      <c r="K8" s="49">
        <f ca="1">OFFSET(OFFSET(INDIRECT(CONCATENATE("'",INDEX(Расчет!$B$3:$Z$3,Расчет!$B$1),"'","!","C2")),Расчет!AE3-1,3*Расчет!$A$1-3),Расчет!$C$1,0)</f>
        <v>57.866999999999997</v>
      </c>
    </row>
    <row r="9" spans="2:11" x14ac:dyDescent="0.35"/>
    <row r="10" spans="2:11" x14ac:dyDescent="0.35">
      <c r="F10" s="90"/>
    </row>
    <row r="11" spans="2:11" x14ac:dyDescent="0.35"/>
    <row r="12" spans="2:11" x14ac:dyDescent="0.35"/>
    <row r="13" spans="2:11" x14ac:dyDescent="0.35"/>
    <row r="14" spans="2:11" x14ac:dyDescent="0.35"/>
    <row r="15" spans="2:11" x14ac:dyDescent="0.35"/>
    <row r="16" spans="2:11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  <row r="26" x14ac:dyDescent="0.35"/>
    <row r="27" x14ac:dyDescent="0.35"/>
    <row r="28" x14ac:dyDescent="0.35"/>
    <row r="29" x14ac:dyDescent="0.35"/>
    <row r="30" x14ac:dyDescent="0.35"/>
    <row r="31" x14ac:dyDescent="0.35"/>
    <row r="32" x14ac:dyDescent="0.35"/>
    <row r="33" x14ac:dyDescent="0.35"/>
    <row r="34" x14ac:dyDescent="0.35"/>
    <row r="35" x14ac:dyDescent="0.35"/>
    <row r="36" x14ac:dyDescent="0.35"/>
    <row r="37" x14ac:dyDescent="0.35"/>
    <row r="38" x14ac:dyDescent="0.35"/>
    <row r="39" x14ac:dyDescent="0.35"/>
    <row r="40" x14ac:dyDescent="0.35"/>
  </sheetData>
  <mergeCells count="1">
    <mergeCell ref="B2:K2"/>
  </mergeCells>
  <pageMargins left="0.7" right="0.7" top="0.75" bottom="0.75" header="0.3" footer="0.3"/>
  <pageSetup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Drop Down 1">
              <controlPr defaultSize="0" autoLine="0" autoPict="0" macro="[0]!sbros1">
                <anchor moveWithCells="1">
                  <from>
                    <xdr:col>3</xdr:col>
                    <xdr:colOff>603250</xdr:colOff>
                    <xdr:row>4</xdr:row>
                    <xdr:rowOff>0</xdr:rowOff>
                  </from>
                  <to>
                    <xdr:col>5</xdr:col>
                    <xdr:colOff>285750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Drop Down 2">
              <controlPr defaultSize="0" autoLine="0" autoPict="0" macro="[0]!Tabl1">
                <anchor moveWithCells="1">
                  <from>
                    <xdr:col>4</xdr:col>
                    <xdr:colOff>12700</xdr:colOff>
                    <xdr:row>6</xdr:row>
                    <xdr:rowOff>184150</xdr:rowOff>
                  </from>
                  <to>
                    <xdr:col>5</xdr:col>
                    <xdr:colOff>304800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Scroll Bar 7">
              <controlPr defaultSize="0" autoPict="0">
                <anchor moveWithCells="1">
                  <from>
                    <xdr:col>11</xdr:col>
                    <xdr:colOff>12700</xdr:colOff>
                    <xdr:row>4</xdr:row>
                    <xdr:rowOff>0</xdr:rowOff>
                  </from>
                  <to>
                    <xdr:col>11</xdr:col>
                    <xdr:colOff>184150</xdr:colOff>
                    <xdr:row>7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/>
  <dimension ref="A1:AE105"/>
  <sheetViews>
    <sheetView workbookViewId="0">
      <selection activeCell="D1" sqref="D1:D1048576"/>
    </sheetView>
  </sheetViews>
  <sheetFormatPr defaultRowHeight="14.5" x14ac:dyDescent="0.35"/>
  <cols>
    <col min="2" max="2" width="10" customWidth="1"/>
    <col min="3" max="3" width="13.1796875" customWidth="1"/>
    <col min="4" max="4" width="12.1796875" customWidth="1"/>
    <col min="5" max="5" width="12.453125" customWidth="1"/>
    <col min="6" max="6" width="11" customWidth="1"/>
    <col min="7" max="7" width="13" customWidth="1"/>
    <col min="8" max="8" width="11.26953125" customWidth="1"/>
    <col min="9" max="9" width="12.453125" customWidth="1"/>
    <col min="10" max="10" width="11.81640625" customWidth="1"/>
    <col min="11" max="11" width="12.26953125" customWidth="1"/>
    <col min="12" max="13" width="10.26953125" bestFit="1" customWidth="1"/>
  </cols>
  <sheetData>
    <row r="1" spans="1:31" x14ac:dyDescent="0.35">
      <c r="A1" s="89">
        <v>1</v>
      </c>
      <c r="B1" s="89">
        <v>4</v>
      </c>
      <c r="C1" s="89">
        <v>1</v>
      </c>
      <c r="N1" s="57"/>
      <c r="AE1" s="57">
        <v>1</v>
      </c>
    </row>
    <row r="2" spans="1:31" x14ac:dyDescent="0.35">
      <c r="B2">
        <v>1</v>
      </c>
      <c r="C2">
        <v>2</v>
      </c>
      <c r="D2" s="28">
        <v>4</v>
      </c>
      <c r="E2" s="28">
        <v>5</v>
      </c>
      <c r="F2" s="28">
        <v>6</v>
      </c>
      <c r="G2" s="28">
        <v>7</v>
      </c>
      <c r="H2" s="28">
        <v>8</v>
      </c>
      <c r="I2" s="28">
        <v>9</v>
      </c>
      <c r="J2" s="28">
        <v>10</v>
      </c>
      <c r="K2" s="28">
        <v>11</v>
      </c>
      <c r="L2" s="28">
        <v>12</v>
      </c>
      <c r="M2" s="28">
        <v>13</v>
      </c>
      <c r="N2" s="57"/>
      <c r="O2">
        <v>14</v>
      </c>
      <c r="P2">
        <v>15</v>
      </c>
      <c r="Q2" s="28">
        <v>16</v>
      </c>
      <c r="R2" s="28">
        <v>17</v>
      </c>
      <c r="S2" s="28">
        <v>18</v>
      </c>
      <c r="T2" s="28">
        <v>19</v>
      </c>
      <c r="U2" s="28">
        <v>20</v>
      </c>
      <c r="V2" s="28">
        <v>21</v>
      </c>
      <c r="W2" s="28">
        <v>22</v>
      </c>
      <c r="X2" s="28">
        <v>23</v>
      </c>
      <c r="Y2" s="28">
        <v>24</v>
      </c>
      <c r="Z2" s="28">
        <v>25</v>
      </c>
      <c r="AE2" s="57">
        <v>2</v>
      </c>
    </row>
    <row r="3" spans="1:31" x14ac:dyDescent="0.35">
      <c r="B3" s="76" t="s">
        <v>55</v>
      </c>
      <c r="C3" s="35" t="s">
        <v>160</v>
      </c>
      <c r="D3" s="35" t="s">
        <v>214</v>
      </c>
      <c r="E3" s="35" t="s">
        <v>214</v>
      </c>
      <c r="F3" s="35" t="s">
        <v>247</v>
      </c>
      <c r="G3" s="35" t="s">
        <v>432</v>
      </c>
      <c r="H3" s="35" t="s">
        <v>126</v>
      </c>
      <c r="I3" s="35" t="s">
        <v>434</v>
      </c>
      <c r="J3" s="35" t="s">
        <v>269</v>
      </c>
      <c r="K3" s="35" t="s">
        <v>433</v>
      </c>
      <c r="L3" s="35" t="s">
        <v>362</v>
      </c>
      <c r="M3" s="35" t="s">
        <v>363</v>
      </c>
      <c r="N3" s="35" t="s">
        <v>421</v>
      </c>
      <c r="O3" s="35" t="s">
        <v>422</v>
      </c>
      <c r="P3" s="35" t="s">
        <v>423</v>
      </c>
      <c r="Q3" s="35" t="s">
        <v>424</v>
      </c>
      <c r="R3" s="35" t="s">
        <v>425</v>
      </c>
      <c r="S3" s="35" t="s">
        <v>426</v>
      </c>
      <c r="T3" s="35" t="s">
        <v>427</v>
      </c>
      <c r="U3" s="35" t="s">
        <v>428</v>
      </c>
      <c r="V3" s="35" t="s">
        <v>429</v>
      </c>
      <c r="AB3" s="87" t="s">
        <v>55</v>
      </c>
      <c r="AE3" s="57">
        <v>3</v>
      </c>
    </row>
    <row r="4" spans="1:31" x14ac:dyDescent="0.35">
      <c r="A4">
        <v>1</v>
      </c>
      <c r="B4" s="22" t="s">
        <v>0</v>
      </c>
      <c r="C4" s="22" t="s">
        <v>161</v>
      </c>
      <c r="D4" s="22" t="s">
        <v>68</v>
      </c>
      <c r="E4" s="22" t="s">
        <v>303</v>
      </c>
      <c r="F4" s="22" t="s">
        <v>248</v>
      </c>
      <c r="G4" s="22" t="s">
        <v>216</v>
      </c>
      <c r="H4" s="22" t="s">
        <v>127</v>
      </c>
      <c r="J4" s="22" t="s">
        <v>270</v>
      </c>
      <c r="K4" s="22" t="s">
        <v>327</v>
      </c>
      <c r="L4" s="22" t="s">
        <v>388</v>
      </c>
      <c r="M4" s="22" t="s">
        <v>364</v>
      </c>
      <c r="P4" s="57"/>
      <c r="AB4" s="87" t="s">
        <v>160</v>
      </c>
      <c r="AE4" s="57">
        <v>4</v>
      </c>
    </row>
    <row r="5" spans="1:31" x14ac:dyDescent="0.35">
      <c r="A5">
        <v>2</v>
      </c>
      <c r="B5" s="22" t="s">
        <v>1</v>
      </c>
      <c r="C5" s="22" t="s">
        <v>162</v>
      </c>
      <c r="D5" s="22" t="s">
        <v>67</v>
      </c>
      <c r="E5" s="22" t="s">
        <v>304</v>
      </c>
      <c r="F5" s="22" t="s">
        <v>249</v>
      </c>
      <c r="G5" s="22" t="s">
        <v>217</v>
      </c>
      <c r="H5" s="22" t="s">
        <v>128</v>
      </c>
      <c r="J5" s="22" t="s">
        <v>271</v>
      </c>
      <c r="K5" s="22" t="s">
        <v>328</v>
      </c>
      <c r="L5" s="22" t="s">
        <v>389</v>
      </c>
      <c r="M5" s="22" t="s">
        <v>365</v>
      </c>
      <c r="P5" s="28"/>
      <c r="AB5" s="87" t="s">
        <v>430</v>
      </c>
    </row>
    <row r="6" spans="1:31" x14ac:dyDescent="0.35">
      <c r="A6" s="28">
        <v>3</v>
      </c>
      <c r="B6" s="22" t="s">
        <v>2</v>
      </c>
      <c r="C6" s="22" t="s">
        <v>163</v>
      </c>
      <c r="D6" s="22" t="s">
        <v>70</v>
      </c>
      <c r="E6" s="22" t="s">
        <v>305</v>
      </c>
      <c r="F6" s="22" t="s">
        <v>250</v>
      </c>
      <c r="G6" s="22" t="s">
        <v>218</v>
      </c>
      <c r="H6" s="22" t="s">
        <v>129</v>
      </c>
      <c r="J6" s="22" t="s">
        <v>272</v>
      </c>
      <c r="K6" s="22" t="s">
        <v>329</v>
      </c>
      <c r="L6" s="22" t="s">
        <v>390</v>
      </c>
      <c r="M6" s="22" t="s">
        <v>366</v>
      </c>
      <c r="P6" s="28"/>
      <c r="W6" s="28"/>
      <c r="AB6" s="87" t="s">
        <v>214</v>
      </c>
    </row>
    <row r="7" spans="1:31" x14ac:dyDescent="0.35">
      <c r="A7" s="28">
        <v>4</v>
      </c>
      <c r="B7" s="22" t="s">
        <v>3</v>
      </c>
      <c r="C7" s="22" t="s">
        <v>164</v>
      </c>
      <c r="D7" s="22" t="s">
        <v>71</v>
      </c>
      <c r="E7" s="22" t="s">
        <v>306</v>
      </c>
      <c r="F7" s="22" t="s">
        <v>251</v>
      </c>
      <c r="G7" s="22" t="s">
        <v>219</v>
      </c>
      <c r="H7" s="22" t="s">
        <v>130</v>
      </c>
      <c r="J7" s="22" t="s">
        <v>273</v>
      </c>
      <c r="K7" s="22" t="s">
        <v>330</v>
      </c>
      <c r="L7" s="22" t="s">
        <v>391</v>
      </c>
      <c r="M7" s="22" t="s">
        <v>367</v>
      </c>
      <c r="P7" s="28"/>
      <c r="W7" s="28"/>
      <c r="AB7" s="87" t="s">
        <v>431</v>
      </c>
    </row>
    <row r="8" spans="1:31" x14ac:dyDescent="0.35">
      <c r="A8" s="28">
        <v>5</v>
      </c>
      <c r="B8" s="22" t="s">
        <v>4</v>
      </c>
      <c r="C8" s="22" t="s">
        <v>165</v>
      </c>
      <c r="D8" s="22" t="s">
        <v>72</v>
      </c>
      <c r="E8" s="22" t="s">
        <v>307</v>
      </c>
      <c r="F8" s="22" t="s">
        <v>252</v>
      </c>
      <c r="G8" s="22" t="s">
        <v>220</v>
      </c>
      <c r="H8" s="22" t="s">
        <v>131</v>
      </c>
      <c r="J8" s="22" t="s">
        <v>274</v>
      </c>
      <c r="K8" s="22" t="s">
        <v>331</v>
      </c>
      <c r="L8" s="22" t="s">
        <v>392</v>
      </c>
      <c r="M8" s="22" t="s">
        <v>368</v>
      </c>
      <c r="P8" s="28"/>
      <c r="W8" s="28"/>
      <c r="AB8" s="88" t="s">
        <v>247</v>
      </c>
    </row>
    <row r="9" spans="1:31" x14ac:dyDescent="0.35">
      <c r="A9" s="28">
        <v>6</v>
      </c>
      <c r="B9" s="22" t="s">
        <v>5</v>
      </c>
      <c r="C9" s="22" t="s">
        <v>166</v>
      </c>
      <c r="D9" s="22" t="s">
        <v>73</v>
      </c>
      <c r="E9" s="22" t="s">
        <v>308</v>
      </c>
      <c r="F9" s="22" t="s">
        <v>253</v>
      </c>
      <c r="G9" s="22" t="s">
        <v>221</v>
      </c>
      <c r="H9" s="22" t="s">
        <v>132</v>
      </c>
      <c r="J9" s="22" t="s">
        <v>275</v>
      </c>
      <c r="K9" s="22" t="s">
        <v>332</v>
      </c>
      <c r="L9" s="22" t="s">
        <v>393</v>
      </c>
      <c r="M9" s="22" t="s">
        <v>369</v>
      </c>
      <c r="P9" s="28"/>
      <c r="W9" s="28"/>
      <c r="AB9" s="87" t="s">
        <v>432</v>
      </c>
    </row>
    <row r="10" spans="1:31" x14ac:dyDescent="0.35">
      <c r="A10" s="28">
        <v>7</v>
      </c>
      <c r="B10" s="22" t="s">
        <v>6</v>
      </c>
      <c r="C10" s="22" t="s">
        <v>167</v>
      </c>
      <c r="D10" s="22" t="s">
        <v>74</v>
      </c>
      <c r="E10" s="22" t="s">
        <v>309</v>
      </c>
      <c r="F10" s="22" t="s">
        <v>254</v>
      </c>
      <c r="G10" s="22" t="s">
        <v>222</v>
      </c>
      <c r="H10" s="22" t="s">
        <v>133</v>
      </c>
      <c r="J10" s="22" t="s">
        <v>276</v>
      </c>
      <c r="K10" s="22" t="s">
        <v>333</v>
      </c>
      <c r="L10" s="22" t="s">
        <v>394</v>
      </c>
      <c r="M10" s="22" t="s">
        <v>370</v>
      </c>
      <c r="P10" s="28"/>
      <c r="W10" s="28"/>
      <c r="AB10" s="87" t="s">
        <v>126</v>
      </c>
    </row>
    <row r="11" spans="1:31" x14ac:dyDescent="0.35">
      <c r="A11" s="28">
        <v>8</v>
      </c>
      <c r="B11" s="22" t="s">
        <v>7</v>
      </c>
      <c r="C11" s="22" t="s">
        <v>168</v>
      </c>
      <c r="D11" s="22" t="s">
        <v>75</v>
      </c>
      <c r="E11" s="22" t="s">
        <v>310</v>
      </c>
      <c r="F11" s="22" t="s">
        <v>255</v>
      </c>
      <c r="G11" s="22" t="s">
        <v>223</v>
      </c>
      <c r="H11" s="22" t="s">
        <v>134</v>
      </c>
      <c r="J11" s="22" t="s">
        <v>277</v>
      </c>
      <c r="K11" s="22" t="s">
        <v>334</v>
      </c>
      <c r="L11" s="22" t="s">
        <v>395</v>
      </c>
      <c r="M11" s="22" t="s">
        <v>371</v>
      </c>
      <c r="AB11" s="87" t="s">
        <v>434</v>
      </c>
    </row>
    <row r="12" spans="1:31" x14ac:dyDescent="0.35">
      <c r="A12" s="28">
        <v>9</v>
      </c>
      <c r="B12" s="22" t="s">
        <v>8</v>
      </c>
      <c r="C12" s="22" t="s">
        <v>169</v>
      </c>
      <c r="D12" s="22" t="s">
        <v>76</v>
      </c>
      <c r="E12" s="22" t="s">
        <v>311</v>
      </c>
      <c r="F12" s="22" t="s">
        <v>256</v>
      </c>
      <c r="G12" s="22" t="s">
        <v>224</v>
      </c>
      <c r="H12" s="22" t="s">
        <v>135</v>
      </c>
      <c r="J12" s="22" t="s">
        <v>278</v>
      </c>
      <c r="K12" s="22" t="s">
        <v>335</v>
      </c>
      <c r="L12" s="22" t="s">
        <v>396</v>
      </c>
      <c r="M12" s="22" t="s">
        <v>372</v>
      </c>
      <c r="AB12" s="87" t="s">
        <v>269</v>
      </c>
    </row>
    <row r="13" spans="1:31" x14ac:dyDescent="0.35">
      <c r="A13" s="28">
        <v>10</v>
      </c>
      <c r="B13" s="22" t="s">
        <v>9</v>
      </c>
      <c r="C13" s="22" t="s">
        <v>170</v>
      </c>
      <c r="D13" s="22" t="s">
        <v>69</v>
      </c>
      <c r="E13" s="22" t="s">
        <v>312</v>
      </c>
      <c r="F13" s="22" t="s">
        <v>257</v>
      </c>
      <c r="G13" s="22" t="s">
        <v>225</v>
      </c>
      <c r="H13" s="22" t="s">
        <v>136</v>
      </c>
      <c r="J13" s="22" t="s">
        <v>279</v>
      </c>
      <c r="K13" s="22" t="s">
        <v>336</v>
      </c>
      <c r="L13" s="22" t="s">
        <v>397</v>
      </c>
      <c r="M13" s="79" t="s">
        <v>373</v>
      </c>
      <c r="AB13" s="87" t="s">
        <v>433</v>
      </c>
    </row>
    <row r="14" spans="1:31" x14ac:dyDescent="0.35">
      <c r="A14" s="28">
        <v>11</v>
      </c>
      <c r="B14" s="22" t="s">
        <v>10</v>
      </c>
      <c r="C14" s="22" t="s">
        <v>171</v>
      </c>
      <c r="D14" s="22" t="s">
        <v>77</v>
      </c>
      <c r="E14" s="22" t="s">
        <v>313</v>
      </c>
      <c r="F14" s="22" t="s">
        <v>258</v>
      </c>
      <c r="G14" s="22" t="s">
        <v>226</v>
      </c>
      <c r="H14" s="22" t="s">
        <v>137</v>
      </c>
      <c r="J14" s="22" t="s">
        <v>280</v>
      </c>
      <c r="K14" s="22" t="s">
        <v>337</v>
      </c>
      <c r="L14" s="22" t="s">
        <v>398</v>
      </c>
      <c r="M14" s="22" t="s">
        <v>374</v>
      </c>
      <c r="AB14" s="87" t="s">
        <v>362</v>
      </c>
    </row>
    <row r="15" spans="1:31" x14ac:dyDescent="0.35">
      <c r="A15" s="28">
        <v>12</v>
      </c>
      <c r="B15" s="22" t="s">
        <v>11</v>
      </c>
      <c r="C15" s="22" t="s">
        <v>172</v>
      </c>
      <c r="D15" s="22" t="s">
        <v>78</v>
      </c>
      <c r="E15" s="22" t="s">
        <v>314</v>
      </c>
      <c r="F15" s="22" t="s">
        <v>263</v>
      </c>
      <c r="G15" s="22" t="s">
        <v>227</v>
      </c>
      <c r="H15" s="22" t="s">
        <v>138</v>
      </c>
      <c r="J15" s="22" t="s">
        <v>281</v>
      </c>
      <c r="K15" s="22" t="s">
        <v>338</v>
      </c>
      <c r="L15" s="22" t="s">
        <v>399</v>
      </c>
      <c r="M15" s="79" t="s">
        <v>375</v>
      </c>
      <c r="AB15" s="87" t="s">
        <v>363</v>
      </c>
    </row>
    <row r="16" spans="1:31" x14ac:dyDescent="0.35">
      <c r="A16" s="28">
        <v>13</v>
      </c>
      <c r="B16" s="22" t="s">
        <v>12</v>
      </c>
      <c r="C16" s="22" t="s">
        <v>173</v>
      </c>
      <c r="D16" s="22" t="s">
        <v>79</v>
      </c>
      <c r="E16" s="22" t="s">
        <v>315</v>
      </c>
      <c r="F16" s="22" t="s">
        <v>259</v>
      </c>
      <c r="G16" s="22" t="s">
        <v>228</v>
      </c>
      <c r="H16" s="22" t="s">
        <v>139</v>
      </c>
      <c r="J16" s="22" t="s">
        <v>282</v>
      </c>
      <c r="K16" s="22" t="s">
        <v>339</v>
      </c>
      <c r="L16" s="22" t="s">
        <v>400</v>
      </c>
      <c r="M16" s="22" t="s">
        <v>376</v>
      </c>
      <c r="AB16" s="87" t="s">
        <v>421</v>
      </c>
    </row>
    <row r="17" spans="1:28" x14ac:dyDescent="0.35">
      <c r="A17" s="28">
        <v>14</v>
      </c>
      <c r="B17" s="22" t="s">
        <v>13</v>
      </c>
      <c r="C17" s="22" t="s">
        <v>174</v>
      </c>
      <c r="D17" s="22" t="s">
        <v>80</v>
      </c>
      <c r="E17" s="22" t="s">
        <v>316</v>
      </c>
      <c r="F17" s="22" t="s">
        <v>260</v>
      </c>
      <c r="G17" s="22" t="s">
        <v>229</v>
      </c>
      <c r="H17" s="22" t="s">
        <v>140</v>
      </c>
      <c r="J17" s="22" t="s">
        <v>283</v>
      </c>
      <c r="K17" s="22" t="s">
        <v>340</v>
      </c>
      <c r="L17" s="22" t="s">
        <v>401</v>
      </c>
      <c r="M17" s="79" t="s">
        <v>377</v>
      </c>
      <c r="AB17" s="87" t="s">
        <v>422</v>
      </c>
    </row>
    <row r="18" spans="1:28" x14ac:dyDescent="0.35">
      <c r="A18" s="28">
        <v>15</v>
      </c>
      <c r="B18" s="22" t="s">
        <v>14</v>
      </c>
      <c r="C18" s="22" t="s">
        <v>175</v>
      </c>
      <c r="D18" s="22" t="s">
        <v>81</v>
      </c>
      <c r="E18" s="22" t="s">
        <v>317</v>
      </c>
      <c r="F18" s="22" t="s">
        <v>261</v>
      </c>
      <c r="G18" s="22" t="s">
        <v>230</v>
      </c>
      <c r="H18" s="22" t="s">
        <v>141</v>
      </c>
      <c r="J18" s="22" t="s">
        <v>284</v>
      </c>
      <c r="K18" s="22" t="s">
        <v>341</v>
      </c>
      <c r="L18" s="22" t="s">
        <v>402</v>
      </c>
      <c r="M18" s="22" t="s">
        <v>378</v>
      </c>
      <c r="AB18" s="87" t="s">
        <v>423</v>
      </c>
    </row>
    <row r="19" spans="1:28" x14ac:dyDescent="0.35">
      <c r="A19" s="28">
        <v>16</v>
      </c>
      <c r="B19" s="22" t="s">
        <v>15</v>
      </c>
      <c r="C19" s="22" t="s">
        <v>176</v>
      </c>
      <c r="D19" s="22" t="s">
        <v>82</v>
      </c>
      <c r="E19" s="22" t="s">
        <v>318</v>
      </c>
      <c r="F19" s="22" t="s">
        <v>264</v>
      </c>
      <c r="G19" s="22" t="s">
        <v>231</v>
      </c>
      <c r="H19" s="22" t="s">
        <v>142</v>
      </c>
      <c r="J19" s="22" t="s">
        <v>266</v>
      </c>
      <c r="K19" s="22" t="s">
        <v>342</v>
      </c>
      <c r="L19" s="22" t="s">
        <v>403</v>
      </c>
      <c r="M19" s="79" t="s">
        <v>379</v>
      </c>
      <c r="O19" s="58"/>
      <c r="P19" s="58"/>
      <c r="AB19" s="87" t="s">
        <v>424</v>
      </c>
    </row>
    <row r="20" spans="1:28" x14ac:dyDescent="0.35">
      <c r="A20" s="28">
        <v>17</v>
      </c>
      <c r="B20" s="22" t="s">
        <v>16</v>
      </c>
      <c r="C20" s="22" t="s">
        <v>177</v>
      </c>
      <c r="D20" s="22" t="s">
        <v>83</v>
      </c>
      <c r="E20" s="22"/>
      <c r="F20" s="22"/>
      <c r="G20" s="22" t="s">
        <v>232</v>
      </c>
      <c r="H20" s="22" t="s">
        <v>143</v>
      </c>
      <c r="J20" s="22" t="s">
        <v>267</v>
      </c>
      <c r="K20" s="22" t="s">
        <v>343</v>
      </c>
      <c r="L20" s="22" t="s">
        <v>404</v>
      </c>
      <c r="M20" s="22" t="s">
        <v>380</v>
      </c>
      <c r="O20" s="58"/>
      <c r="P20" s="58"/>
      <c r="AB20" s="87" t="s">
        <v>425</v>
      </c>
    </row>
    <row r="21" spans="1:28" x14ac:dyDescent="0.35">
      <c r="A21" s="28">
        <v>18</v>
      </c>
      <c r="B21" s="22" t="s">
        <v>17</v>
      </c>
      <c r="C21" s="22" t="s">
        <v>178</v>
      </c>
      <c r="D21" s="22" t="s">
        <v>84</v>
      </c>
      <c r="E21" s="22"/>
      <c r="F21" s="22"/>
      <c r="G21" s="22" t="s">
        <v>233</v>
      </c>
      <c r="H21" s="22" t="s">
        <v>144</v>
      </c>
      <c r="J21" s="22"/>
      <c r="K21" s="22" t="s">
        <v>344</v>
      </c>
      <c r="L21" s="22" t="s">
        <v>405</v>
      </c>
      <c r="M21" s="79" t="s">
        <v>381</v>
      </c>
      <c r="O21" s="58"/>
      <c r="P21" s="58"/>
      <c r="T21" s="61"/>
      <c r="AB21" s="87" t="s">
        <v>426</v>
      </c>
    </row>
    <row r="22" spans="1:28" x14ac:dyDescent="0.35">
      <c r="A22" s="28">
        <v>19</v>
      </c>
      <c r="B22" s="22" t="s">
        <v>18</v>
      </c>
      <c r="C22" s="22" t="s">
        <v>179</v>
      </c>
      <c r="D22" s="22" t="s">
        <v>85</v>
      </c>
      <c r="E22" s="22"/>
      <c r="F22" s="22"/>
      <c r="G22" s="22"/>
      <c r="H22" s="22" t="s">
        <v>145</v>
      </c>
      <c r="J22" s="22"/>
      <c r="K22" s="22" t="s">
        <v>345</v>
      </c>
      <c r="L22" s="22" t="s">
        <v>406</v>
      </c>
      <c r="M22" s="22" t="s">
        <v>382</v>
      </c>
      <c r="O22" s="58"/>
      <c r="P22" s="58"/>
      <c r="T22" s="61"/>
      <c r="AB22" s="87" t="s">
        <v>427</v>
      </c>
    </row>
    <row r="23" spans="1:28" x14ac:dyDescent="0.35">
      <c r="A23" s="28">
        <v>20</v>
      </c>
      <c r="B23" s="22" t="s">
        <v>19</v>
      </c>
      <c r="C23" s="22" t="s">
        <v>180</v>
      </c>
      <c r="D23" s="22" t="s">
        <v>86</v>
      </c>
      <c r="E23" s="22"/>
      <c r="F23" s="22"/>
      <c r="G23" s="22"/>
      <c r="H23" s="22" t="s">
        <v>146</v>
      </c>
      <c r="J23" s="22"/>
      <c r="K23" s="22" t="s">
        <v>346</v>
      </c>
      <c r="L23" s="22" t="s">
        <v>407</v>
      </c>
      <c r="M23" s="79" t="s">
        <v>383</v>
      </c>
      <c r="O23" s="58"/>
      <c r="P23" s="58"/>
      <c r="T23" s="61"/>
      <c r="AB23" s="87" t="s">
        <v>428</v>
      </c>
    </row>
    <row r="24" spans="1:28" x14ac:dyDescent="0.35">
      <c r="A24" s="28">
        <v>21</v>
      </c>
      <c r="B24" s="22" t="s">
        <v>20</v>
      </c>
      <c r="C24" s="22" t="s">
        <v>181</v>
      </c>
      <c r="D24" s="22" t="s">
        <v>87</v>
      </c>
      <c r="E24" s="22"/>
      <c r="F24" s="22"/>
      <c r="G24" s="22"/>
      <c r="H24" s="22" t="s">
        <v>147</v>
      </c>
      <c r="J24" s="22"/>
      <c r="K24" s="22" t="s">
        <v>347</v>
      </c>
      <c r="L24" s="22" t="s">
        <v>408</v>
      </c>
      <c r="M24" s="22" t="s">
        <v>384</v>
      </c>
      <c r="O24" s="58"/>
      <c r="P24" s="58"/>
      <c r="T24" s="61"/>
      <c r="AB24" s="87" t="s">
        <v>429</v>
      </c>
    </row>
    <row r="25" spans="1:28" x14ac:dyDescent="0.35">
      <c r="A25" s="28">
        <v>22</v>
      </c>
      <c r="B25" s="22" t="s">
        <v>21</v>
      </c>
      <c r="C25" s="22" t="s">
        <v>182</v>
      </c>
      <c r="D25" s="22" t="s">
        <v>88</v>
      </c>
      <c r="E25" s="22"/>
      <c r="F25" s="22"/>
      <c r="G25" s="22"/>
      <c r="H25" s="22" t="s">
        <v>148</v>
      </c>
      <c r="J25" s="22"/>
      <c r="K25" s="22" t="s">
        <v>348</v>
      </c>
      <c r="L25" s="22" t="s">
        <v>409</v>
      </c>
      <c r="M25" s="79" t="s">
        <v>385</v>
      </c>
      <c r="O25" s="58"/>
      <c r="P25" s="58"/>
      <c r="T25" s="61"/>
      <c r="AB25" s="1"/>
    </row>
    <row r="26" spans="1:28" x14ac:dyDescent="0.35">
      <c r="A26" s="28">
        <v>23</v>
      </c>
      <c r="B26" s="22" t="s">
        <v>22</v>
      </c>
      <c r="C26" s="22" t="s">
        <v>183</v>
      </c>
      <c r="D26" s="22" t="s">
        <v>89</v>
      </c>
      <c r="E26" s="22"/>
      <c r="F26" s="22"/>
      <c r="G26" s="22"/>
      <c r="H26" s="22" t="s">
        <v>149</v>
      </c>
      <c r="J26" s="22"/>
      <c r="K26" s="22" t="s">
        <v>349</v>
      </c>
      <c r="L26" s="22" t="s">
        <v>410</v>
      </c>
      <c r="M26" s="22" t="s">
        <v>386</v>
      </c>
      <c r="O26" s="58"/>
      <c r="P26" s="58"/>
      <c r="T26" s="61"/>
      <c r="AB26" s="1"/>
    </row>
    <row r="27" spans="1:28" x14ac:dyDescent="0.35">
      <c r="A27" s="28">
        <v>24</v>
      </c>
      <c r="B27" s="22" t="s">
        <v>23</v>
      </c>
      <c r="C27" s="22" t="s">
        <v>184</v>
      </c>
      <c r="D27" s="22" t="s">
        <v>90</v>
      </c>
      <c r="E27" s="22"/>
      <c r="F27" s="22"/>
      <c r="G27" s="22"/>
      <c r="H27" s="22" t="s">
        <v>150</v>
      </c>
      <c r="J27" s="22"/>
      <c r="L27" s="22" t="s">
        <v>411</v>
      </c>
      <c r="M27" s="79" t="s">
        <v>387</v>
      </c>
      <c r="O27" s="58"/>
      <c r="P27" s="58"/>
      <c r="T27" s="61"/>
      <c r="AB27" s="1"/>
    </row>
    <row r="28" spans="1:28" x14ac:dyDescent="0.35">
      <c r="A28" s="28">
        <v>25</v>
      </c>
      <c r="B28" s="22" t="s">
        <v>24</v>
      </c>
      <c r="C28" s="22" t="s">
        <v>185</v>
      </c>
      <c r="D28" s="22" t="s">
        <v>91</v>
      </c>
      <c r="E28" s="22"/>
      <c r="F28" s="22"/>
      <c r="G28" s="22"/>
      <c r="H28" s="22" t="s">
        <v>151</v>
      </c>
      <c r="J28" s="22"/>
      <c r="L28" s="22" t="s">
        <v>412</v>
      </c>
      <c r="O28" s="58"/>
      <c r="P28" s="58"/>
      <c r="T28" s="61"/>
      <c r="AB28" s="1"/>
    </row>
    <row r="29" spans="1:28" x14ac:dyDescent="0.35">
      <c r="A29" s="28">
        <v>26</v>
      </c>
      <c r="B29" s="22" t="s">
        <v>25</v>
      </c>
      <c r="C29" s="22" t="s">
        <v>186</v>
      </c>
      <c r="D29" s="22" t="s">
        <v>92</v>
      </c>
      <c r="E29" s="22"/>
      <c r="F29" s="22"/>
      <c r="G29" s="22"/>
      <c r="H29" s="22" t="s">
        <v>152</v>
      </c>
      <c r="J29" s="22"/>
      <c r="L29" s="22" t="s">
        <v>413</v>
      </c>
      <c r="O29" s="58"/>
      <c r="P29" s="58"/>
      <c r="T29" s="61"/>
      <c r="AB29" s="1"/>
    </row>
    <row r="30" spans="1:28" x14ac:dyDescent="0.35">
      <c r="A30" s="28">
        <v>27</v>
      </c>
      <c r="B30" s="22" t="s">
        <v>26</v>
      </c>
      <c r="C30" s="22" t="s">
        <v>187</v>
      </c>
      <c r="D30" s="22" t="s">
        <v>93</v>
      </c>
      <c r="E30" s="22"/>
      <c r="F30" s="22"/>
      <c r="G30" s="22"/>
      <c r="H30" s="22" t="s">
        <v>153</v>
      </c>
      <c r="J30" s="22"/>
      <c r="L30" s="22" t="s">
        <v>414</v>
      </c>
      <c r="O30" s="58"/>
      <c r="P30" s="58"/>
      <c r="T30" s="61"/>
    </row>
    <row r="31" spans="1:28" x14ac:dyDescent="0.35">
      <c r="A31" s="28">
        <v>28</v>
      </c>
      <c r="B31" s="22" t="s">
        <v>51</v>
      </c>
      <c r="C31" s="22" t="s">
        <v>188</v>
      </c>
      <c r="D31" s="22" t="s">
        <v>94</v>
      </c>
      <c r="E31" s="22"/>
      <c r="F31" s="22"/>
      <c r="G31" s="22"/>
      <c r="H31" s="22" t="s">
        <v>154</v>
      </c>
      <c r="J31" s="22"/>
      <c r="L31" s="22" t="s">
        <v>415</v>
      </c>
      <c r="O31" s="58"/>
      <c r="P31" s="58"/>
      <c r="T31" s="61"/>
    </row>
    <row r="32" spans="1:28" x14ac:dyDescent="0.35">
      <c r="A32" s="28">
        <v>29</v>
      </c>
      <c r="B32" s="22" t="s">
        <v>52</v>
      </c>
      <c r="C32" s="22"/>
      <c r="D32" s="22" t="s">
        <v>95</v>
      </c>
      <c r="E32" s="22"/>
      <c r="F32" s="22"/>
      <c r="G32" s="22"/>
      <c r="H32" s="22" t="s">
        <v>156</v>
      </c>
      <c r="J32" s="22"/>
      <c r="L32" s="22" t="s">
        <v>416</v>
      </c>
      <c r="O32" s="58"/>
      <c r="P32" s="58"/>
      <c r="T32" s="61"/>
    </row>
    <row r="33" spans="1:30" x14ac:dyDescent="0.35">
      <c r="A33" s="28">
        <v>30</v>
      </c>
      <c r="B33" s="22" t="s">
        <v>53</v>
      </c>
      <c r="C33" s="22"/>
      <c r="D33" s="22" t="s">
        <v>96</v>
      </c>
      <c r="E33" s="22"/>
      <c r="F33" s="22"/>
      <c r="G33" s="22"/>
      <c r="H33" s="22" t="s">
        <v>155</v>
      </c>
      <c r="J33" s="22"/>
      <c r="L33" s="22" t="s">
        <v>417</v>
      </c>
      <c r="O33" s="58"/>
      <c r="P33" s="58"/>
      <c r="T33" s="61"/>
    </row>
    <row r="34" spans="1:30" x14ac:dyDescent="0.35">
      <c r="A34" s="28">
        <v>31</v>
      </c>
      <c r="B34" s="22" t="s">
        <v>27</v>
      </c>
      <c r="C34" s="22"/>
      <c r="D34" s="22" t="s">
        <v>97</v>
      </c>
      <c r="E34" s="22"/>
      <c r="F34" s="22"/>
      <c r="G34" s="22"/>
      <c r="H34" s="22" t="s">
        <v>159</v>
      </c>
      <c r="I34" s="22"/>
      <c r="N34" s="58"/>
      <c r="O34" s="58"/>
      <c r="S34" s="61"/>
    </row>
    <row r="35" spans="1:30" x14ac:dyDescent="0.35">
      <c r="A35" s="28">
        <v>32</v>
      </c>
      <c r="B35" s="22" t="s">
        <v>28</v>
      </c>
      <c r="C35" s="22"/>
      <c r="D35" s="22" t="s">
        <v>98</v>
      </c>
      <c r="E35" s="22"/>
      <c r="F35" s="22"/>
      <c r="G35" s="22"/>
      <c r="H35" s="22"/>
      <c r="I35" s="22"/>
      <c r="N35" s="58"/>
      <c r="O35" s="58"/>
      <c r="S35" s="61"/>
    </row>
    <row r="36" spans="1:30" x14ac:dyDescent="0.35">
      <c r="A36" s="28">
        <v>33</v>
      </c>
      <c r="B36" s="22" t="s">
        <v>29</v>
      </c>
      <c r="C36" s="22"/>
      <c r="D36" s="22" t="s">
        <v>99</v>
      </c>
      <c r="E36" s="22"/>
      <c r="F36" s="22"/>
      <c r="G36" s="22"/>
      <c r="H36" s="22"/>
      <c r="I36" s="22"/>
      <c r="N36" s="58"/>
      <c r="O36" s="58"/>
      <c r="S36" s="61"/>
      <c r="AD36" s="57" t="str">
        <f ca="1">INDEX(Расчет!$AB$3:$AB$29,Расчет!$B$1)&amp;"  "&amp;INDEX(OFFSET(Расчет!$B$4:$B$55,0,Расчет!$B$1-1),Расчет!$A$1)</f>
        <v>УКПГ-2В  Куст 21</v>
      </c>
    </row>
    <row r="37" spans="1:30" x14ac:dyDescent="0.35">
      <c r="A37" s="28">
        <v>34</v>
      </c>
      <c r="B37" s="22" t="s">
        <v>49</v>
      </c>
      <c r="C37" s="22"/>
      <c r="D37" s="22" t="s">
        <v>101</v>
      </c>
      <c r="E37" s="22"/>
      <c r="F37" s="22"/>
      <c r="G37" s="22"/>
      <c r="H37" s="22"/>
      <c r="I37" s="22"/>
      <c r="N37" s="58"/>
      <c r="O37" s="58"/>
      <c r="S37" s="61"/>
    </row>
    <row r="38" spans="1:30" x14ac:dyDescent="0.35">
      <c r="A38" s="28">
        <v>35</v>
      </c>
      <c r="B38" s="22" t="s">
        <v>50</v>
      </c>
      <c r="C38" s="22"/>
      <c r="D38" s="22" t="s">
        <v>102</v>
      </c>
      <c r="E38" s="22"/>
      <c r="F38" s="22"/>
      <c r="G38" s="22"/>
      <c r="H38" s="22"/>
      <c r="I38" s="22"/>
      <c r="N38" s="58"/>
      <c r="O38" s="58"/>
      <c r="S38" s="61"/>
    </row>
    <row r="39" spans="1:30" x14ac:dyDescent="0.35">
      <c r="A39" s="28">
        <v>36</v>
      </c>
      <c r="B39" s="22" t="s">
        <v>30</v>
      </c>
      <c r="C39" s="22"/>
      <c r="D39" s="22" t="s">
        <v>103</v>
      </c>
      <c r="E39" s="22"/>
      <c r="F39" s="22"/>
      <c r="G39" s="22"/>
      <c r="H39" s="22"/>
      <c r="I39" s="22"/>
      <c r="N39" s="58"/>
      <c r="O39" s="58"/>
      <c r="S39" s="61"/>
    </row>
    <row r="40" spans="1:30" x14ac:dyDescent="0.35">
      <c r="A40" s="28">
        <v>37</v>
      </c>
      <c r="B40" s="22" t="s">
        <v>31</v>
      </c>
      <c r="C40" s="22"/>
      <c r="D40" s="22" t="s">
        <v>100</v>
      </c>
      <c r="E40" s="22"/>
      <c r="F40" s="22"/>
      <c r="G40" s="22"/>
      <c r="H40" s="22"/>
      <c r="I40" s="22"/>
      <c r="N40" s="58"/>
      <c r="O40" s="58"/>
      <c r="S40" s="61"/>
    </row>
    <row r="41" spans="1:30" x14ac:dyDescent="0.35">
      <c r="A41" s="28">
        <v>38</v>
      </c>
      <c r="B41" s="22" t="s">
        <v>34</v>
      </c>
      <c r="C41" s="22"/>
      <c r="D41" s="22" t="s">
        <v>104</v>
      </c>
      <c r="E41" s="22"/>
      <c r="F41" s="22"/>
      <c r="G41" s="22"/>
      <c r="H41" s="22"/>
      <c r="I41" s="22"/>
      <c r="N41" s="58"/>
      <c r="O41" s="58"/>
      <c r="S41" s="61"/>
    </row>
    <row r="42" spans="1:30" x14ac:dyDescent="0.35">
      <c r="A42" s="28">
        <v>39</v>
      </c>
      <c r="B42" s="22" t="s">
        <v>35</v>
      </c>
      <c r="C42" s="22"/>
      <c r="D42" s="22" t="s">
        <v>105</v>
      </c>
      <c r="E42" s="22"/>
      <c r="F42" s="22"/>
      <c r="G42" s="22"/>
      <c r="H42" s="22"/>
      <c r="I42" s="22"/>
      <c r="N42" s="58"/>
      <c r="O42" s="58"/>
      <c r="S42" s="61"/>
    </row>
    <row r="43" spans="1:30" x14ac:dyDescent="0.35">
      <c r="A43" s="28">
        <v>40</v>
      </c>
      <c r="B43" s="22" t="s">
        <v>36</v>
      </c>
      <c r="C43" s="22"/>
      <c r="D43" s="22" t="s">
        <v>106</v>
      </c>
      <c r="E43" s="22"/>
      <c r="F43" s="22"/>
      <c r="G43" s="22"/>
      <c r="H43" s="22"/>
      <c r="I43" s="22"/>
      <c r="N43" s="58"/>
      <c r="O43" s="58"/>
      <c r="S43" s="61"/>
    </row>
    <row r="44" spans="1:30" x14ac:dyDescent="0.35">
      <c r="A44" s="28">
        <v>41</v>
      </c>
      <c r="B44" s="22" t="s">
        <v>37</v>
      </c>
      <c r="C44" s="22"/>
      <c r="D44" s="22"/>
      <c r="E44" s="22"/>
      <c r="F44" s="22"/>
      <c r="G44" s="22"/>
      <c r="H44" s="22"/>
      <c r="I44" s="22"/>
      <c r="N44" s="58"/>
      <c r="O44" s="58"/>
      <c r="S44" s="61"/>
    </row>
    <row r="45" spans="1:30" x14ac:dyDescent="0.35">
      <c r="A45" s="28">
        <v>42</v>
      </c>
      <c r="B45" s="22" t="s">
        <v>38</v>
      </c>
      <c r="C45" s="22"/>
      <c r="D45" s="22"/>
      <c r="E45" s="22"/>
      <c r="F45" s="22"/>
      <c r="G45" s="22"/>
      <c r="H45" s="22"/>
      <c r="I45" s="22"/>
      <c r="N45" s="58"/>
      <c r="O45" s="58"/>
      <c r="S45" s="61"/>
    </row>
    <row r="46" spans="1:30" x14ac:dyDescent="0.35">
      <c r="A46" s="28">
        <v>43</v>
      </c>
      <c r="B46" s="22" t="s">
        <v>39</v>
      </c>
      <c r="C46" s="22"/>
      <c r="D46" s="22"/>
      <c r="E46" s="22"/>
      <c r="F46" s="22"/>
      <c r="G46" s="22"/>
      <c r="H46" s="22"/>
      <c r="M46" s="58"/>
      <c r="N46" s="58"/>
      <c r="R46" s="61"/>
    </row>
    <row r="47" spans="1:30" x14ac:dyDescent="0.35">
      <c r="A47" s="28">
        <v>44</v>
      </c>
      <c r="B47" s="22" t="s">
        <v>40</v>
      </c>
      <c r="C47" s="22"/>
      <c r="D47" s="22"/>
      <c r="E47" s="22"/>
      <c r="F47" s="22"/>
      <c r="G47" s="22"/>
      <c r="H47" s="22"/>
      <c r="M47" s="58"/>
      <c r="N47" s="58"/>
      <c r="R47" s="61"/>
    </row>
    <row r="48" spans="1:30" x14ac:dyDescent="0.35">
      <c r="A48" s="28">
        <v>45</v>
      </c>
      <c r="B48" s="22" t="s">
        <v>41</v>
      </c>
      <c r="C48" s="22"/>
      <c r="D48" s="22"/>
      <c r="E48" s="22"/>
      <c r="F48" s="22"/>
      <c r="G48" s="22"/>
      <c r="H48" s="22"/>
      <c r="M48" s="58"/>
      <c r="N48" s="58"/>
      <c r="R48" s="61"/>
    </row>
    <row r="49" spans="1:18" x14ac:dyDescent="0.35">
      <c r="A49" s="28">
        <v>46</v>
      </c>
      <c r="B49" s="22" t="s">
        <v>42</v>
      </c>
      <c r="C49" s="22"/>
      <c r="D49" s="22"/>
      <c r="E49" s="22"/>
      <c r="F49" s="22"/>
      <c r="G49" s="22"/>
      <c r="H49" s="22"/>
      <c r="M49" s="58"/>
      <c r="N49" s="58"/>
      <c r="R49" s="61"/>
    </row>
    <row r="50" spans="1:18" x14ac:dyDescent="0.35">
      <c r="A50" s="28">
        <v>47</v>
      </c>
      <c r="B50" s="22" t="s">
        <v>43</v>
      </c>
      <c r="C50" s="22"/>
      <c r="D50" s="22"/>
      <c r="E50" s="22"/>
      <c r="F50" s="22"/>
      <c r="G50" s="22"/>
      <c r="H50" s="22"/>
      <c r="M50" s="58"/>
      <c r="N50" s="58"/>
      <c r="R50" s="61"/>
    </row>
    <row r="51" spans="1:18" x14ac:dyDescent="0.35">
      <c r="A51" s="28">
        <v>49</v>
      </c>
      <c r="B51" s="22" t="s">
        <v>44</v>
      </c>
      <c r="C51" s="22"/>
      <c r="D51" s="22"/>
      <c r="E51" s="22"/>
      <c r="F51" s="22"/>
      <c r="G51" s="22"/>
      <c r="H51" s="22"/>
      <c r="M51" s="58"/>
      <c r="N51" s="58"/>
      <c r="R51" s="61"/>
    </row>
    <row r="52" spans="1:18" x14ac:dyDescent="0.35">
      <c r="A52" s="28">
        <v>50</v>
      </c>
      <c r="B52" s="22" t="s">
        <v>45</v>
      </c>
      <c r="C52" s="22"/>
      <c r="D52" s="22"/>
      <c r="E52" s="22"/>
      <c r="F52" s="22"/>
      <c r="G52" s="22"/>
      <c r="H52" s="22"/>
      <c r="M52" s="58"/>
      <c r="N52" s="58"/>
    </row>
    <row r="53" spans="1:18" x14ac:dyDescent="0.35">
      <c r="A53" s="28">
        <v>51</v>
      </c>
      <c r="B53" s="22" t="s">
        <v>46</v>
      </c>
      <c r="C53" s="22"/>
      <c r="D53" s="22"/>
      <c r="E53" s="22"/>
      <c r="F53" s="22"/>
      <c r="G53" s="22"/>
      <c r="H53" s="22"/>
      <c r="M53" s="58"/>
      <c r="N53" s="58"/>
    </row>
    <row r="54" spans="1:18" x14ac:dyDescent="0.35">
      <c r="A54" s="28">
        <v>52</v>
      </c>
      <c r="B54" s="22" t="s">
        <v>47</v>
      </c>
      <c r="C54" s="22"/>
      <c r="D54" s="22"/>
      <c r="E54" s="22"/>
      <c r="F54" s="22"/>
      <c r="G54" s="22"/>
      <c r="H54" s="22"/>
      <c r="M54" s="58"/>
    </row>
    <row r="55" spans="1:18" x14ac:dyDescent="0.35">
      <c r="A55" s="28">
        <v>53</v>
      </c>
      <c r="B55" s="22" t="s">
        <v>48</v>
      </c>
      <c r="C55" s="22"/>
      <c r="D55" s="22"/>
      <c r="E55" s="22"/>
      <c r="F55" s="22"/>
      <c r="G55" s="22"/>
      <c r="H55" s="22"/>
      <c r="M55" s="58"/>
    </row>
    <row r="56" spans="1:18" x14ac:dyDescent="0.35">
      <c r="M56" s="58"/>
    </row>
    <row r="57" spans="1:18" x14ac:dyDescent="0.35">
      <c r="M57" s="58"/>
    </row>
    <row r="58" spans="1:18" x14ac:dyDescent="0.35">
      <c r="M58" s="58"/>
    </row>
    <row r="59" spans="1:18" x14ac:dyDescent="0.35">
      <c r="M59" s="58"/>
    </row>
    <row r="60" spans="1:18" x14ac:dyDescent="0.35">
      <c r="M60" s="58"/>
    </row>
    <row r="61" spans="1:18" x14ac:dyDescent="0.35">
      <c r="M61" s="58"/>
    </row>
    <row r="62" spans="1:18" x14ac:dyDescent="0.35">
      <c r="M62" s="58"/>
    </row>
    <row r="63" spans="1:18" x14ac:dyDescent="0.35">
      <c r="M63" s="58"/>
    </row>
    <row r="64" spans="1:18" x14ac:dyDescent="0.35">
      <c r="M64" s="58"/>
    </row>
    <row r="65" spans="13:13" x14ac:dyDescent="0.35">
      <c r="M65" s="58"/>
    </row>
    <row r="66" spans="13:13" x14ac:dyDescent="0.35">
      <c r="M66" s="58"/>
    </row>
    <row r="67" spans="13:13" x14ac:dyDescent="0.35">
      <c r="M67" s="58"/>
    </row>
    <row r="68" spans="13:13" x14ac:dyDescent="0.35">
      <c r="M68" s="58"/>
    </row>
    <row r="69" spans="13:13" x14ac:dyDescent="0.35">
      <c r="M69" s="58"/>
    </row>
    <row r="70" spans="13:13" x14ac:dyDescent="0.35">
      <c r="M70" s="58"/>
    </row>
    <row r="71" spans="13:13" x14ac:dyDescent="0.35">
      <c r="M71" s="58"/>
    </row>
    <row r="72" spans="13:13" x14ac:dyDescent="0.35">
      <c r="M72" s="58"/>
    </row>
    <row r="73" spans="13:13" x14ac:dyDescent="0.35">
      <c r="M73" s="58"/>
    </row>
    <row r="74" spans="13:13" x14ac:dyDescent="0.35">
      <c r="M74" s="58"/>
    </row>
    <row r="75" spans="13:13" x14ac:dyDescent="0.35">
      <c r="M75" s="58"/>
    </row>
    <row r="76" spans="13:13" x14ac:dyDescent="0.35">
      <c r="M76" s="58"/>
    </row>
    <row r="77" spans="13:13" x14ac:dyDescent="0.35">
      <c r="M77" s="58"/>
    </row>
    <row r="78" spans="13:13" x14ac:dyDescent="0.35">
      <c r="M78" s="58"/>
    </row>
    <row r="79" spans="13:13" x14ac:dyDescent="0.35">
      <c r="M79" s="58"/>
    </row>
    <row r="80" spans="13:13" x14ac:dyDescent="0.35">
      <c r="M80" s="58"/>
    </row>
    <row r="81" spans="13:13" x14ac:dyDescent="0.35">
      <c r="M81" s="58"/>
    </row>
    <row r="82" spans="13:13" x14ac:dyDescent="0.35">
      <c r="M82" s="58"/>
    </row>
    <row r="83" spans="13:13" x14ac:dyDescent="0.35">
      <c r="M83" s="58"/>
    </row>
    <row r="84" spans="13:13" x14ac:dyDescent="0.35">
      <c r="M84" s="58"/>
    </row>
    <row r="85" spans="13:13" x14ac:dyDescent="0.35">
      <c r="M85" s="58"/>
    </row>
    <row r="86" spans="13:13" x14ac:dyDescent="0.35">
      <c r="M86" s="58"/>
    </row>
    <row r="87" spans="13:13" x14ac:dyDescent="0.35">
      <c r="M87" s="58"/>
    </row>
    <row r="88" spans="13:13" x14ac:dyDescent="0.35">
      <c r="M88" s="58"/>
    </row>
    <row r="89" spans="13:13" x14ac:dyDescent="0.35">
      <c r="M89" s="58"/>
    </row>
    <row r="90" spans="13:13" x14ac:dyDescent="0.35">
      <c r="M90" s="58"/>
    </row>
    <row r="91" spans="13:13" x14ac:dyDescent="0.35">
      <c r="M91" s="58"/>
    </row>
    <row r="92" spans="13:13" x14ac:dyDescent="0.35">
      <c r="M92" s="58"/>
    </row>
    <row r="93" spans="13:13" x14ac:dyDescent="0.35">
      <c r="M93" s="58"/>
    </row>
    <row r="94" spans="13:13" x14ac:dyDescent="0.35">
      <c r="M94" s="58"/>
    </row>
    <row r="95" spans="13:13" x14ac:dyDescent="0.35">
      <c r="M95" s="58"/>
    </row>
    <row r="96" spans="13:13" x14ac:dyDescent="0.35">
      <c r="M96" s="58"/>
    </row>
    <row r="97" spans="13:13" x14ac:dyDescent="0.35">
      <c r="M97" s="58"/>
    </row>
    <row r="98" spans="13:13" x14ac:dyDescent="0.35">
      <c r="M98" s="58"/>
    </row>
    <row r="99" spans="13:13" x14ac:dyDescent="0.35">
      <c r="M99" s="58"/>
    </row>
    <row r="100" spans="13:13" x14ac:dyDescent="0.35">
      <c r="M100" s="58"/>
    </row>
    <row r="101" spans="13:13" x14ac:dyDescent="0.35">
      <c r="M101" s="58"/>
    </row>
    <row r="102" spans="13:13" x14ac:dyDescent="0.35">
      <c r="M102" s="58"/>
    </row>
    <row r="103" spans="13:13" x14ac:dyDescent="0.35">
      <c r="M103" s="58"/>
    </row>
    <row r="104" spans="13:13" x14ac:dyDescent="0.35">
      <c r="M104" s="58"/>
    </row>
    <row r="105" spans="13:13" x14ac:dyDescent="0.35">
      <c r="M105" s="58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EZ104"/>
  <sheetViews>
    <sheetView workbookViewId="0">
      <pane ySplit="2" topLeftCell="A3" activePane="bottomLeft" state="frozen"/>
      <selection activeCell="EJ1" sqref="EJ1"/>
      <selection pane="bottomLeft" activeCell="G28" sqref="G28"/>
    </sheetView>
  </sheetViews>
  <sheetFormatPr defaultRowHeight="14.5" x14ac:dyDescent="0.35"/>
  <sheetData>
    <row r="1" spans="2:156" x14ac:dyDescent="0.35">
      <c r="B1" s="99" t="s">
        <v>0</v>
      </c>
      <c r="C1" s="100"/>
      <c r="D1" s="3"/>
      <c r="E1" s="99" t="s">
        <v>1</v>
      </c>
      <c r="F1" s="100"/>
      <c r="H1" s="96" t="s">
        <v>2</v>
      </c>
      <c r="I1" s="97"/>
      <c r="K1" s="96" t="s">
        <v>3</v>
      </c>
      <c r="L1" s="97"/>
      <c r="N1" s="96" t="s">
        <v>4</v>
      </c>
      <c r="O1" s="97"/>
      <c r="Q1" s="96" t="s">
        <v>5</v>
      </c>
      <c r="R1" s="97"/>
      <c r="T1" s="96" t="s">
        <v>6</v>
      </c>
      <c r="U1" s="97"/>
      <c r="W1" s="96" t="s">
        <v>7</v>
      </c>
      <c r="X1" s="97"/>
      <c r="Z1" s="96" t="s">
        <v>8</v>
      </c>
      <c r="AA1" s="97"/>
      <c r="AC1" s="93" t="s">
        <v>9</v>
      </c>
      <c r="AD1" s="93"/>
      <c r="AF1" s="93" t="s">
        <v>10</v>
      </c>
      <c r="AG1" s="93"/>
      <c r="AI1" s="93" t="s">
        <v>11</v>
      </c>
      <c r="AJ1" s="93"/>
      <c r="AL1" s="93" t="s">
        <v>12</v>
      </c>
      <c r="AM1" s="93"/>
      <c r="AO1" s="93" t="s">
        <v>13</v>
      </c>
      <c r="AP1" s="93"/>
      <c r="AR1" s="93" t="s">
        <v>14</v>
      </c>
      <c r="AS1" s="93"/>
      <c r="AU1" s="93" t="s">
        <v>15</v>
      </c>
      <c r="AV1" s="93"/>
      <c r="AX1" s="93" t="s">
        <v>16</v>
      </c>
      <c r="AY1" s="93"/>
      <c r="BA1" s="93" t="s">
        <v>17</v>
      </c>
      <c r="BB1" s="93"/>
      <c r="BD1" s="93" t="s">
        <v>18</v>
      </c>
      <c r="BE1" s="93"/>
      <c r="BG1" s="93" t="s">
        <v>19</v>
      </c>
      <c r="BH1" s="93"/>
      <c r="BJ1" s="93" t="s">
        <v>20</v>
      </c>
      <c r="BK1" s="93"/>
      <c r="BM1" s="93" t="s">
        <v>21</v>
      </c>
      <c r="BN1" s="93"/>
      <c r="BP1" s="93" t="s">
        <v>22</v>
      </c>
      <c r="BQ1" s="93"/>
      <c r="BS1" s="93" t="s">
        <v>23</v>
      </c>
      <c r="BT1" s="93"/>
      <c r="BV1" s="93" t="s">
        <v>24</v>
      </c>
      <c r="BW1" s="93"/>
      <c r="BY1" s="93" t="s">
        <v>25</v>
      </c>
      <c r="BZ1" s="93"/>
      <c r="CB1" s="93" t="s">
        <v>26</v>
      </c>
      <c r="CC1" s="93"/>
      <c r="CD1" s="3"/>
      <c r="CE1" s="93" t="s">
        <v>51</v>
      </c>
      <c r="CF1" s="93"/>
      <c r="CG1" s="3"/>
      <c r="CH1" s="93" t="s">
        <v>52</v>
      </c>
      <c r="CI1" s="93"/>
      <c r="CJ1" s="3"/>
      <c r="CK1" s="93" t="s">
        <v>53</v>
      </c>
      <c r="CL1" s="93"/>
      <c r="CM1" s="3"/>
      <c r="CN1" s="93" t="s">
        <v>27</v>
      </c>
      <c r="CO1" s="93"/>
      <c r="CP1" s="3"/>
      <c r="CQ1" s="93" t="s">
        <v>28</v>
      </c>
      <c r="CR1" s="93"/>
      <c r="CS1" s="3"/>
      <c r="CT1" s="93" t="s">
        <v>29</v>
      </c>
      <c r="CU1" s="93"/>
      <c r="CV1" s="3"/>
      <c r="CW1" s="93" t="s">
        <v>49</v>
      </c>
      <c r="CX1" s="93"/>
      <c r="CY1" s="3"/>
      <c r="CZ1" s="93" t="s">
        <v>50</v>
      </c>
      <c r="DA1" s="93"/>
      <c r="DB1" s="3"/>
      <c r="DC1" s="93" t="s">
        <v>30</v>
      </c>
      <c r="DD1" s="93"/>
      <c r="DE1" s="3"/>
      <c r="DF1" s="93" t="s">
        <v>31</v>
      </c>
      <c r="DG1" s="93"/>
      <c r="DH1" s="3"/>
      <c r="DI1" s="93" t="s">
        <v>34</v>
      </c>
      <c r="DJ1" s="93"/>
      <c r="DK1" s="3"/>
      <c r="DL1" s="93" t="s">
        <v>35</v>
      </c>
      <c r="DM1" s="93"/>
      <c r="DN1" s="3"/>
      <c r="DO1" s="93" t="s">
        <v>36</v>
      </c>
      <c r="DP1" s="93"/>
      <c r="DQ1" s="3"/>
      <c r="DR1" s="93" t="s">
        <v>37</v>
      </c>
      <c r="DS1" s="93"/>
      <c r="DT1" s="3"/>
      <c r="DU1" s="93" t="s">
        <v>38</v>
      </c>
      <c r="DV1" s="93"/>
      <c r="DW1" s="3"/>
      <c r="DX1" s="93" t="s">
        <v>39</v>
      </c>
      <c r="DY1" s="93"/>
      <c r="DZ1" s="3"/>
      <c r="EA1" s="93" t="s">
        <v>40</v>
      </c>
      <c r="EB1" s="93"/>
      <c r="EC1" s="3"/>
      <c r="ED1" s="93" t="s">
        <v>41</v>
      </c>
      <c r="EE1" s="93"/>
      <c r="EF1" s="3"/>
      <c r="EG1" s="93" t="s">
        <v>42</v>
      </c>
      <c r="EH1" s="93"/>
      <c r="EI1" s="3"/>
      <c r="EJ1" s="93" t="s">
        <v>43</v>
      </c>
      <c r="EK1" s="93"/>
      <c r="EL1" s="3"/>
      <c r="EM1" s="98" t="s">
        <v>44</v>
      </c>
      <c r="EN1" s="98"/>
      <c r="EO1" s="28"/>
      <c r="EP1" s="98" t="s">
        <v>45</v>
      </c>
      <c r="EQ1" s="98"/>
      <c r="ER1" s="28"/>
      <c r="ES1" s="98" t="s">
        <v>46</v>
      </c>
      <c r="ET1" s="98"/>
      <c r="EU1" s="28"/>
      <c r="EV1" s="98" t="s">
        <v>47</v>
      </c>
      <c r="EW1" s="98"/>
      <c r="EX1" s="3"/>
      <c r="EY1" s="93" t="s">
        <v>48</v>
      </c>
      <c r="EZ1" s="93"/>
    </row>
    <row r="2" spans="2:156" x14ac:dyDescent="0.35">
      <c r="B2" s="1" t="s">
        <v>32</v>
      </c>
      <c r="C2" s="1" t="s">
        <v>33</v>
      </c>
      <c r="D2" s="5"/>
      <c r="E2" s="1" t="s">
        <v>32</v>
      </c>
      <c r="F2" s="1" t="s">
        <v>33</v>
      </c>
      <c r="G2" s="4"/>
      <c r="H2" s="1" t="s">
        <v>32</v>
      </c>
      <c r="I2" s="1" t="s">
        <v>33</v>
      </c>
      <c r="J2" s="3"/>
      <c r="K2" s="1" t="s">
        <v>32</v>
      </c>
      <c r="L2" s="1" t="s">
        <v>33</v>
      </c>
      <c r="M2" s="3"/>
      <c r="N2" s="1" t="s">
        <v>32</v>
      </c>
      <c r="O2" s="1" t="s">
        <v>33</v>
      </c>
      <c r="P2" s="3"/>
      <c r="Q2" s="1" t="s">
        <v>32</v>
      </c>
      <c r="R2" s="1" t="s">
        <v>33</v>
      </c>
      <c r="S2" s="3"/>
      <c r="T2" s="1" t="s">
        <v>32</v>
      </c>
      <c r="U2" s="1" t="s">
        <v>33</v>
      </c>
      <c r="V2" s="3"/>
      <c r="W2" s="1" t="s">
        <v>32</v>
      </c>
      <c r="X2" s="1" t="s">
        <v>33</v>
      </c>
      <c r="Y2" s="3"/>
      <c r="Z2" s="1" t="s">
        <v>32</v>
      </c>
      <c r="AA2" s="1" t="s">
        <v>33</v>
      </c>
      <c r="AB2" s="3"/>
      <c r="AC2" s="1" t="s">
        <v>32</v>
      </c>
      <c r="AD2" s="1" t="s">
        <v>33</v>
      </c>
      <c r="AE2" s="3"/>
      <c r="AF2" s="1" t="s">
        <v>32</v>
      </c>
      <c r="AG2" s="1" t="s">
        <v>33</v>
      </c>
      <c r="AH2" s="3"/>
      <c r="AI2" s="1" t="s">
        <v>32</v>
      </c>
      <c r="AJ2" s="1" t="s">
        <v>33</v>
      </c>
      <c r="AK2" s="3"/>
      <c r="AL2" s="1" t="s">
        <v>32</v>
      </c>
      <c r="AM2" s="1" t="s">
        <v>33</v>
      </c>
      <c r="AN2" s="3"/>
      <c r="AO2" s="1" t="s">
        <v>32</v>
      </c>
      <c r="AP2" s="1" t="s">
        <v>33</v>
      </c>
      <c r="AQ2" s="3"/>
      <c r="AR2" s="1" t="s">
        <v>32</v>
      </c>
      <c r="AS2" s="1" t="s">
        <v>33</v>
      </c>
      <c r="AT2" s="3"/>
      <c r="AU2" s="7" t="s">
        <v>32</v>
      </c>
      <c r="AV2" s="7" t="s">
        <v>33</v>
      </c>
      <c r="AW2" s="3"/>
      <c r="AX2" s="1" t="s">
        <v>32</v>
      </c>
      <c r="AY2" s="1" t="s">
        <v>33</v>
      </c>
      <c r="AZ2" s="3"/>
      <c r="BA2" s="7" t="s">
        <v>32</v>
      </c>
      <c r="BB2" s="7" t="s">
        <v>33</v>
      </c>
      <c r="BC2" s="3"/>
      <c r="BD2" s="1" t="s">
        <v>32</v>
      </c>
      <c r="BE2" s="1" t="s">
        <v>33</v>
      </c>
      <c r="BF2" s="3"/>
      <c r="BG2" s="1" t="s">
        <v>32</v>
      </c>
      <c r="BH2" s="1" t="s">
        <v>33</v>
      </c>
      <c r="BI2" s="3"/>
      <c r="BJ2" s="1" t="s">
        <v>32</v>
      </c>
      <c r="BK2" s="1" t="s">
        <v>33</v>
      </c>
      <c r="BL2" s="3"/>
      <c r="BM2" s="1" t="s">
        <v>32</v>
      </c>
      <c r="BN2" s="1" t="s">
        <v>33</v>
      </c>
      <c r="BO2" s="3"/>
      <c r="BP2" s="1" t="s">
        <v>32</v>
      </c>
      <c r="BQ2" s="1" t="s">
        <v>33</v>
      </c>
      <c r="BR2" s="3"/>
      <c r="BS2" s="1" t="s">
        <v>32</v>
      </c>
      <c r="BT2" s="1" t="s">
        <v>33</v>
      </c>
      <c r="BU2" s="3"/>
      <c r="BV2" s="1" t="s">
        <v>32</v>
      </c>
      <c r="BW2" s="1" t="s">
        <v>33</v>
      </c>
      <c r="BX2" s="3"/>
      <c r="BY2" s="1" t="s">
        <v>32</v>
      </c>
      <c r="BZ2" s="1" t="s">
        <v>33</v>
      </c>
      <c r="CA2" s="3"/>
      <c r="CB2" s="1" t="s">
        <v>32</v>
      </c>
      <c r="CC2" s="1" t="s">
        <v>33</v>
      </c>
      <c r="CD2" s="3"/>
      <c r="CE2" s="1" t="s">
        <v>32</v>
      </c>
      <c r="CF2" s="1" t="s">
        <v>33</v>
      </c>
      <c r="CG2" s="3"/>
      <c r="CH2" s="1" t="s">
        <v>32</v>
      </c>
      <c r="CI2" s="1" t="s">
        <v>33</v>
      </c>
      <c r="CJ2" s="3"/>
      <c r="CK2" s="1" t="s">
        <v>32</v>
      </c>
      <c r="CL2" s="1" t="s">
        <v>33</v>
      </c>
      <c r="CM2" s="3"/>
      <c r="CN2" s="1" t="s">
        <v>32</v>
      </c>
      <c r="CO2" s="1" t="s">
        <v>33</v>
      </c>
      <c r="CP2" s="3"/>
      <c r="CQ2" s="1" t="s">
        <v>32</v>
      </c>
      <c r="CR2" s="1" t="s">
        <v>33</v>
      </c>
      <c r="CS2" s="3"/>
      <c r="CT2" s="1" t="s">
        <v>32</v>
      </c>
      <c r="CU2" s="1" t="s">
        <v>33</v>
      </c>
      <c r="CV2" s="3"/>
      <c r="CW2" s="1" t="s">
        <v>32</v>
      </c>
      <c r="CX2" s="1" t="s">
        <v>33</v>
      </c>
      <c r="CY2" s="3"/>
      <c r="CZ2" s="1" t="s">
        <v>32</v>
      </c>
      <c r="DA2" s="1" t="s">
        <v>33</v>
      </c>
      <c r="DB2" s="3"/>
      <c r="DC2" s="1" t="s">
        <v>32</v>
      </c>
      <c r="DD2" s="1" t="s">
        <v>33</v>
      </c>
      <c r="DE2" s="3"/>
      <c r="DF2" s="1" t="s">
        <v>32</v>
      </c>
      <c r="DG2" s="1" t="s">
        <v>33</v>
      </c>
      <c r="DH2" s="3"/>
      <c r="DI2" s="1" t="s">
        <v>32</v>
      </c>
      <c r="DJ2" s="1" t="s">
        <v>33</v>
      </c>
      <c r="DK2" s="3"/>
      <c r="DL2" s="1" t="s">
        <v>32</v>
      </c>
      <c r="DM2" s="1" t="s">
        <v>33</v>
      </c>
      <c r="DN2" s="3"/>
      <c r="DO2" s="1" t="s">
        <v>32</v>
      </c>
      <c r="DP2" s="1" t="s">
        <v>33</v>
      </c>
      <c r="DQ2" s="3"/>
      <c r="DR2" s="1" t="s">
        <v>32</v>
      </c>
      <c r="DS2" s="1" t="s">
        <v>33</v>
      </c>
      <c r="DT2" s="3"/>
      <c r="DU2" s="1" t="s">
        <v>32</v>
      </c>
      <c r="DV2" s="1" t="s">
        <v>33</v>
      </c>
      <c r="DW2" s="3"/>
      <c r="DX2" s="1" t="s">
        <v>32</v>
      </c>
      <c r="DY2" s="1" t="s">
        <v>33</v>
      </c>
      <c r="DZ2" s="3"/>
      <c r="EA2" s="1" t="s">
        <v>32</v>
      </c>
      <c r="EB2" s="1" t="s">
        <v>33</v>
      </c>
      <c r="EC2" s="3"/>
      <c r="ED2" s="1" t="s">
        <v>32</v>
      </c>
      <c r="EE2" s="1" t="s">
        <v>33</v>
      </c>
      <c r="EF2" s="3"/>
      <c r="EG2" s="1" t="s">
        <v>32</v>
      </c>
      <c r="EH2" s="1" t="s">
        <v>33</v>
      </c>
      <c r="EI2" s="3"/>
      <c r="EJ2" s="1" t="s">
        <v>32</v>
      </c>
      <c r="EK2" s="1" t="s">
        <v>33</v>
      </c>
      <c r="EL2" s="3"/>
      <c r="EM2" s="1" t="s">
        <v>32</v>
      </c>
      <c r="EN2" s="1" t="s">
        <v>33</v>
      </c>
      <c r="EO2" s="28"/>
      <c r="EP2" s="1" t="s">
        <v>32</v>
      </c>
      <c r="EQ2" s="1" t="s">
        <v>33</v>
      </c>
      <c r="ER2" s="28"/>
      <c r="ES2" s="1" t="s">
        <v>32</v>
      </c>
      <c r="ET2" s="1" t="s">
        <v>33</v>
      </c>
      <c r="EU2" s="28"/>
      <c r="EV2" s="1" t="s">
        <v>32</v>
      </c>
      <c r="EW2" s="1" t="s">
        <v>33</v>
      </c>
      <c r="EX2" s="3"/>
      <c r="EY2" s="1" t="s">
        <v>32</v>
      </c>
      <c r="EZ2" s="1" t="s">
        <v>33</v>
      </c>
    </row>
    <row r="3" spans="2:156" x14ac:dyDescent="0.35">
      <c r="B3" s="38">
        <v>0</v>
      </c>
      <c r="C3" s="38">
        <v>53.4</v>
      </c>
      <c r="E3" s="2">
        <v>0</v>
      </c>
      <c r="F3" s="2">
        <v>51.97</v>
      </c>
      <c r="G3" s="11"/>
      <c r="H3" s="2">
        <v>0</v>
      </c>
      <c r="I3" s="2">
        <v>51.05</v>
      </c>
      <c r="J3" s="17"/>
      <c r="K3" s="6">
        <v>0</v>
      </c>
      <c r="L3" s="6">
        <v>51.78</v>
      </c>
      <c r="M3" s="10"/>
      <c r="N3" s="2">
        <v>0</v>
      </c>
      <c r="O3" s="2">
        <v>57.38</v>
      </c>
      <c r="P3" s="10"/>
      <c r="Q3" s="2">
        <v>0</v>
      </c>
      <c r="R3" s="2">
        <v>56.92</v>
      </c>
      <c r="S3" s="10"/>
      <c r="T3" s="2">
        <v>0</v>
      </c>
      <c r="U3" s="2">
        <v>54.1</v>
      </c>
      <c r="V3" s="10"/>
      <c r="W3" s="2">
        <v>0</v>
      </c>
      <c r="X3" s="2">
        <v>55.04</v>
      </c>
      <c r="Y3" s="10"/>
      <c r="Z3" s="2">
        <v>0</v>
      </c>
      <c r="AA3" s="2">
        <v>55.31</v>
      </c>
      <c r="AB3" s="10"/>
      <c r="AC3" s="2">
        <v>0</v>
      </c>
      <c r="AD3" s="2">
        <v>59.53</v>
      </c>
      <c r="AE3" s="10"/>
      <c r="AF3" s="2">
        <v>0</v>
      </c>
      <c r="AG3" s="2">
        <v>59.58</v>
      </c>
      <c r="AH3" s="10"/>
      <c r="AI3" s="7">
        <v>0</v>
      </c>
      <c r="AJ3" s="7">
        <v>59.27</v>
      </c>
      <c r="AK3" s="10"/>
      <c r="AL3" s="6">
        <v>0</v>
      </c>
      <c r="AM3" s="6">
        <v>57.79</v>
      </c>
      <c r="AN3" s="10"/>
      <c r="AO3" s="2">
        <v>0</v>
      </c>
      <c r="AP3" s="2">
        <v>58.05</v>
      </c>
      <c r="AQ3" s="10"/>
      <c r="AR3" s="2">
        <v>0</v>
      </c>
      <c r="AS3" s="2">
        <v>55.71</v>
      </c>
      <c r="AT3" s="10"/>
      <c r="AU3" s="6">
        <v>0</v>
      </c>
      <c r="AV3" s="6">
        <v>59.71</v>
      </c>
      <c r="AW3" s="10"/>
      <c r="AX3" s="2">
        <v>0</v>
      </c>
      <c r="AY3" s="2">
        <v>59.05</v>
      </c>
      <c r="AZ3" s="10"/>
      <c r="BA3" s="6">
        <v>0</v>
      </c>
      <c r="BB3" s="6">
        <v>58.18</v>
      </c>
      <c r="BC3" s="10"/>
      <c r="BD3" s="2">
        <v>0</v>
      </c>
      <c r="BE3" s="2">
        <v>57.37</v>
      </c>
      <c r="BF3" s="10"/>
      <c r="BG3" s="2">
        <v>0</v>
      </c>
      <c r="BH3" s="2">
        <v>57.22</v>
      </c>
      <c r="BI3" s="10"/>
      <c r="BJ3" s="7">
        <v>0</v>
      </c>
      <c r="BK3" s="7">
        <v>58.53</v>
      </c>
      <c r="BL3" s="10"/>
      <c r="BM3" s="2">
        <v>0</v>
      </c>
      <c r="BN3" s="2">
        <v>57.51</v>
      </c>
      <c r="BO3" s="10"/>
      <c r="BP3" s="2">
        <v>0</v>
      </c>
      <c r="BQ3" s="2">
        <v>58.31</v>
      </c>
      <c r="BR3" s="10"/>
      <c r="BS3" s="6">
        <v>0</v>
      </c>
      <c r="BT3" s="6">
        <v>56.27</v>
      </c>
      <c r="BU3" s="10"/>
      <c r="BV3" s="2">
        <v>0</v>
      </c>
      <c r="BW3" s="2">
        <v>59.38</v>
      </c>
      <c r="BX3" s="10"/>
      <c r="BY3" s="2">
        <v>0</v>
      </c>
      <c r="BZ3" s="2">
        <v>58.53</v>
      </c>
      <c r="CA3" s="10"/>
      <c r="CB3" s="2">
        <v>0</v>
      </c>
      <c r="CC3" s="2">
        <v>56.63</v>
      </c>
      <c r="CD3" s="10"/>
      <c r="CE3" s="2">
        <v>0</v>
      </c>
      <c r="CF3" s="2">
        <v>56.59</v>
      </c>
      <c r="CH3" s="2">
        <v>0</v>
      </c>
      <c r="CI3" s="2">
        <v>56.13</v>
      </c>
      <c r="CJ3" s="10"/>
      <c r="CK3" s="21">
        <v>0</v>
      </c>
      <c r="CL3" s="24">
        <v>55.53</v>
      </c>
      <c r="CM3" s="10"/>
      <c r="CN3" s="2">
        <v>0</v>
      </c>
      <c r="CO3" s="2">
        <v>57.16</v>
      </c>
      <c r="CP3" s="10"/>
      <c r="CQ3" s="6">
        <v>0</v>
      </c>
      <c r="CR3" s="6">
        <v>56.63</v>
      </c>
      <c r="CS3" s="26"/>
      <c r="CT3" s="6">
        <v>0</v>
      </c>
      <c r="CU3" s="6">
        <v>56.35</v>
      </c>
      <c r="CV3" s="26"/>
      <c r="CW3" s="21">
        <v>0</v>
      </c>
      <c r="CX3" s="21">
        <v>56.64</v>
      </c>
      <c r="CY3" s="26"/>
      <c r="CZ3" s="24">
        <v>0</v>
      </c>
      <c r="DA3" s="24">
        <v>55.4</v>
      </c>
      <c r="DB3" s="26"/>
      <c r="DC3" s="2">
        <v>0</v>
      </c>
      <c r="DD3" s="2">
        <v>57.02</v>
      </c>
      <c r="DE3" s="10"/>
      <c r="DF3" s="7">
        <v>0</v>
      </c>
      <c r="DG3" s="7">
        <v>56.72</v>
      </c>
      <c r="DI3" s="7">
        <v>0</v>
      </c>
      <c r="DJ3" s="7">
        <v>56.74</v>
      </c>
      <c r="DL3" s="7">
        <v>0</v>
      </c>
      <c r="DM3" s="7">
        <v>54.94</v>
      </c>
      <c r="DO3" s="2">
        <v>0</v>
      </c>
      <c r="DP3" s="2">
        <v>54.66</v>
      </c>
      <c r="DR3" s="2">
        <v>0</v>
      </c>
      <c r="DS3" s="2">
        <v>56.09</v>
      </c>
      <c r="DU3" s="2">
        <v>0</v>
      </c>
      <c r="DV3" s="2">
        <v>57.02</v>
      </c>
      <c r="DX3" s="2">
        <v>0</v>
      </c>
      <c r="DY3" s="2">
        <v>54.78</v>
      </c>
      <c r="EA3" s="2">
        <v>0</v>
      </c>
      <c r="EB3" s="2">
        <v>53.98</v>
      </c>
      <c r="ED3" s="2">
        <v>0</v>
      </c>
      <c r="EE3" s="2">
        <v>52.86</v>
      </c>
      <c r="EG3" s="2">
        <v>0</v>
      </c>
      <c r="EH3" s="2">
        <v>51.37</v>
      </c>
      <c r="EJ3" s="2">
        <v>0</v>
      </c>
      <c r="EK3" s="2">
        <v>52.07</v>
      </c>
      <c r="EM3" s="24">
        <v>0</v>
      </c>
      <c r="EN3" s="24">
        <v>50.75</v>
      </c>
      <c r="EP3" s="21">
        <v>0</v>
      </c>
      <c r="EQ3" s="24">
        <v>49.83</v>
      </c>
      <c r="ES3" s="34">
        <v>0</v>
      </c>
      <c r="ET3" s="24">
        <v>52.61</v>
      </c>
      <c r="EV3" s="2">
        <v>0</v>
      </c>
      <c r="EW3" s="2">
        <v>51.1</v>
      </c>
      <c r="EY3" s="2">
        <v>0</v>
      </c>
      <c r="EZ3" s="2">
        <v>51.54</v>
      </c>
    </row>
    <row r="4" spans="2:156" x14ac:dyDescent="0.35">
      <c r="B4" s="38">
        <v>82</v>
      </c>
      <c r="C4" s="38">
        <v>53.45</v>
      </c>
      <c r="E4" s="6">
        <v>37</v>
      </c>
      <c r="F4" s="6">
        <v>52.2</v>
      </c>
      <c r="G4" s="11"/>
      <c r="H4" s="6">
        <v>165</v>
      </c>
      <c r="I4" s="6">
        <v>51.16</v>
      </c>
      <c r="J4" s="17"/>
      <c r="K4" s="6">
        <v>102</v>
      </c>
      <c r="L4" s="6">
        <v>53.23</v>
      </c>
      <c r="M4" s="10"/>
      <c r="N4" s="6">
        <v>33</v>
      </c>
      <c r="O4" s="6">
        <v>57.82</v>
      </c>
      <c r="P4" s="10"/>
      <c r="Q4" s="6">
        <v>32</v>
      </c>
      <c r="R4" s="6">
        <v>55.92</v>
      </c>
      <c r="S4" s="10"/>
      <c r="T4" s="6">
        <v>48</v>
      </c>
      <c r="U4" s="6">
        <v>53.71</v>
      </c>
      <c r="V4" s="10"/>
      <c r="W4" s="6">
        <v>57</v>
      </c>
      <c r="X4" s="6">
        <v>55.38</v>
      </c>
      <c r="Y4" s="10"/>
      <c r="Z4" s="6">
        <v>139</v>
      </c>
      <c r="AA4" s="6">
        <v>54.47</v>
      </c>
      <c r="AB4" s="10"/>
      <c r="AC4" s="6">
        <v>55</v>
      </c>
      <c r="AD4" s="6">
        <v>58.03</v>
      </c>
      <c r="AE4" s="10"/>
      <c r="AF4" s="6">
        <v>79</v>
      </c>
      <c r="AG4" s="6">
        <v>57.32</v>
      </c>
      <c r="AH4" s="10"/>
      <c r="AI4" s="18">
        <v>78</v>
      </c>
      <c r="AJ4" s="18">
        <v>61.28</v>
      </c>
      <c r="AK4" s="10"/>
      <c r="AL4" s="6">
        <v>56</v>
      </c>
      <c r="AM4" s="6">
        <v>57.58</v>
      </c>
      <c r="AN4" s="10"/>
      <c r="AO4" s="6">
        <v>119</v>
      </c>
      <c r="AP4" s="6">
        <v>57.88</v>
      </c>
      <c r="AQ4" s="10"/>
      <c r="AR4" s="6">
        <v>44</v>
      </c>
      <c r="AS4" s="6">
        <v>55.59</v>
      </c>
      <c r="AT4" s="10"/>
      <c r="AU4" s="6">
        <v>68</v>
      </c>
      <c r="AV4" s="6">
        <v>59.71</v>
      </c>
      <c r="AW4" s="10"/>
      <c r="AX4" s="6">
        <v>89</v>
      </c>
      <c r="AY4" s="6">
        <v>57.62</v>
      </c>
      <c r="AZ4" s="10"/>
      <c r="BA4" s="6">
        <v>139</v>
      </c>
      <c r="BB4" s="6">
        <v>57.52</v>
      </c>
      <c r="BC4" s="10"/>
      <c r="BD4" s="6">
        <v>202</v>
      </c>
      <c r="BE4" s="6">
        <v>56.81</v>
      </c>
      <c r="BF4" s="10"/>
      <c r="BG4" s="6">
        <v>68</v>
      </c>
      <c r="BH4" s="6">
        <v>55.88</v>
      </c>
      <c r="BI4" s="10"/>
      <c r="BJ4" s="18">
        <v>9</v>
      </c>
      <c r="BK4" s="18">
        <v>58.62</v>
      </c>
      <c r="BL4" s="10"/>
      <c r="BM4" s="6">
        <v>41</v>
      </c>
      <c r="BN4" s="6">
        <v>57.59</v>
      </c>
      <c r="BO4" s="10"/>
      <c r="BP4" s="6">
        <v>50</v>
      </c>
      <c r="BQ4" s="6">
        <v>57.2</v>
      </c>
      <c r="BR4" s="10"/>
      <c r="BS4" s="6">
        <v>11</v>
      </c>
      <c r="BT4" s="6">
        <v>55.99</v>
      </c>
      <c r="BU4" s="10"/>
      <c r="BV4" s="6">
        <v>62</v>
      </c>
      <c r="BW4" s="6">
        <v>58.34</v>
      </c>
      <c r="BX4" s="10"/>
      <c r="BY4" s="6">
        <v>31</v>
      </c>
      <c r="BZ4" s="6">
        <v>58.45</v>
      </c>
      <c r="CA4" s="10"/>
      <c r="CB4" s="6">
        <v>18</v>
      </c>
      <c r="CC4" s="6">
        <v>56.36</v>
      </c>
      <c r="CD4" s="10"/>
      <c r="CE4" s="6">
        <v>150</v>
      </c>
      <c r="CF4" s="6">
        <v>56.06</v>
      </c>
      <c r="CH4" s="6">
        <v>187</v>
      </c>
      <c r="CI4" s="6">
        <v>55.89</v>
      </c>
      <c r="CJ4" s="10"/>
      <c r="CK4" s="21">
        <v>129</v>
      </c>
      <c r="CL4" s="25">
        <v>55.24</v>
      </c>
      <c r="CM4" s="10"/>
      <c r="CN4" s="6">
        <v>153</v>
      </c>
      <c r="CO4" s="6">
        <v>57.28</v>
      </c>
      <c r="CP4" s="10"/>
      <c r="CQ4" s="6">
        <v>137</v>
      </c>
      <c r="CR4" s="6">
        <v>57.22</v>
      </c>
      <c r="CS4" s="26"/>
      <c r="CT4" s="6">
        <v>64</v>
      </c>
      <c r="CU4" s="6">
        <v>56.51</v>
      </c>
      <c r="CV4" s="26"/>
      <c r="CW4" s="21">
        <v>191</v>
      </c>
      <c r="CX4" s="21">
        <v>55.05</v>
      </c>
      <c r="CY4" s="26"/>
      <c r="CZ4" s="25">
        <v>130</v>
      </c>
      <c r="DA4" s="25">
        <v>55.4</v>
      </c>
      <c r="DB4" s="26"/>
      <c r="DC4" s="6">
        <v>102</v>
      </c>
      <c r="DD4" s="6">
        <v>55.99</v>
      </c>
      <c r="DE4" s="10"/>
      <c r="DF4" s="18">
        <v>101</v>
      </c>
      <c r="DG4" s="18">
        <v>55.91</v>
      </c>
      <c r="DI4" s="18">
        <v>94</v>
      </c>
      <c r="DJ4" s="18">
        <v>55.84</v>
      </c>
      <c r="DL4" s="18">
        <v>150</v>
      </c>
      <c r="DM4" s="18">
        <v>54.94</v>
      </c>
      <c r="DO4" s="6">
        <v>208</v>
      </c>
      <c r="DP4" s="6">
        <v>53.76</v>
      </c>
      <c r="DR4" s="6">
        <v>100</v>
      </c>
      <c r="DS4" s="6">
        <v>55.9</v>
      </c>
      <c r="DU4" s="6">
        <v>170</v>
      </c>
      <c r="DV4" s="6">
        <v>56.92</v>
      </c>
      <c r="DX4" s="6">
        <v>202</v>
      </c>
      <c r="DY4" s="6">
        <v>55.39</v>
      </c>
      <c r="EA4" s="6">
        <v>143</v>
      </c>
      <c r="EB4" s="6">
        <v>53.88</v>
      </c>
      <c r="ED4" s="25">
        <v>119</v>
      </c>
      <c r="EE4" s="25">
        <v>59.88</v>
      </c>
      <c r="EG4" s="6">
        <v>51</v>
      </c>
      <c r="EH4" s="6">
        <v>52.65</v>
      </c>
      <c r="EJ4" s="25">
        <v>52</v>
      </c>
      <c r="EK4" s="25">
        <v>52.19</v>
      </c>
      <c r="EM4" s="25">
        <v>61.9</v>
      </c>
      <c r="EN4" s="25">
        <v>51.15</v>
      </c>
      <c r="EP4" s="21">
        <v>187</v>
      </c>
      <c r="EQ4" s="25">
        <v>49.89</v>
      </c>
      <c r="ES4" s="21">
        <v>104</v>
      </c>
      <c r="ET4" s="25">
        <v>52.54</v>
      </c>
      <c r="EV4" s="25">
        <v>52</v>
      </c>
      <c r="EW4" s="25">
        <v>59.27</v>
      </c>
      <c r="EY4" s="25">
        <v>38</v>
      </c>
      <c r="EZ4" s="25">
        <v>49.79</v>
      </c>
    </row>
    <row r="5" spans="2:156" x14ac:dyDescent="0.35">
      <c r="B5" s="38">
        <v>131</v>
      </c>
      <c r="C5" s="38">
        <v>53.64</v>
      </c>
      <c r="E5" s="6">
        <v>120</v>
      </c>
      <c r="F5" s="6">
        <v>52.03</v>
      </c>
      <c r="G5" s="11"/>
      <c r="H5" s="6">
        <v>313</v>
      </c>
      <c r="I5" s="6">
        <v>50.74</v>
      </c>
      <c r="J5" s="17"/>
      <c r="K5" s="6">
        <v>238</v>
      </c>
      <c r="L5" s="6">
        <v>53.46</v>
      </c>
      <c r="N5" s="6">
        <v>115</v>
      </c>
      <c r="O5" s="6">
        <v>57.38</v>
      </c>
      <c r="Q5" s="6">
        <v>88</v>
      </c>
      <c r="R5" s="6">
        <v>53.94</v>
      </c>
      <c r="T5" s="6">
        <v>224</v>
      </c>
      <c r="U5" s="6">
        <v>54.95</v>
      </c>
      <c r="W5" s="6">
        <v>125</v>
      </c>
      <c r="X5" s="6">
        <v>55.05</v>
      </c>
      <c r="Z5" s="6">
        <v>183</v>
      </c>
      <c r="AA5" s="6">
        <v>54.38</v>
      </c>
      <c r="AC5" s="6">
        <v>151</v>
      </c>
      <c r="AD5" s="6">
        <v>58.01</v>
      </c>
      <c r="AF5" s="6">
        <v>98</v>
      </c>
      <c r="AG5" s="6">
        <v>57.82</v>
      </c>
      <c r="AI5" s="18">
        <v>152</v>
      </c>
      <c r="AJ5" s="18">
        <v>57.8</v>
      </c>
      <c r="AL5" s="6">
        <v>184</v>
      </c>
      <c r="AM5" s="6">
        <v>57.17</v>
      </c>
      <c r="AN5" s="13" t="s">
        <v>60</v>
      </c>
      <c r="AO5" s="15">
        <v>186</v>
      </c>
      <c r="AP5" s="15">
        <v>57.21</v>
      </c>
      <c r="AR5" s="6">
        <v>98</v>
      </c>
      <c r="AS5" s="6">
        <v>55.56</v>
      </c>
      <c r="AU5" s="6">
        <v>176</v>
      </c>
      <c r="AV5" s="6">
        <v>58.89</v>
      </c>
      <c r="AX5" s="6">
        <v>181</v>
      </c>
      <c r="AY5" s="6">
        <v>57.77</v>
      </c>
      <c r="BA5" s="6">
        <v>239</v>
      </c>
      <c r="BB5" s="6">
        <v>57.52</v>
      </c>
      <c r="BD5" s="6">
        <v>425</v>
      </c>
      <c r="BE5" s="6">
        <v>56.55</v>
      </c>
      <c r="BG5" s="6">
        <v>121</v>
      </c>
      <c r="BH5" s="6">
        <v>55.77</v>
      </c>
      <c r="BJ5" s="18">
        <v>191</v>
      </c>
      <c r="BK5" s="18">
        <v>57.72</v>
      </c>
      <c r="BM5" s="6">
        <v>66</v>
      </c>
      <c r="BN5" s="6">
        <v>57.36</v>
      </c>
      <c r="BP5" s="6">
        <v>134</v>
      </c>
      <c r="BQ5" s="6">
        <v>57.2</v>
      </c>
      <c r="BS5" s="6">
        <v>85</v>
      </c>
      <c r="BT5" s="6">
        <v>56.14</v>
      </c>
      <c r="BV5" s="6">
        <v>246</v>
      </c>
      <c r="BW5" s="6">
        <v>57.94</v>
      </c>
      <c r="BY5" s="6">
        <v>239</v>
      </c>
      <c r="BZ5" s="6">
        <v>58.51</v>
      </c>
      <c r="CB5" s="6">
        <v>30</v>
      </c>
      <c r="CC5" s="6">
        <v>56.65</v>
      </c>
      <c r="CE5" s="6">
        <v>268</v>
      </c>
      <c r="CF5" s="6">
        <v>55.91</v>
      </c>
      <c r="CH5" s="6">
        <v>306</v>
      </c>
      <c r="CI5" s="6">
        <v>56.17</v>
      </c>
      <c r="CK5" s="21">
        <v>374</v>
      </c>
      <c r="CL5" s="25">
        <v>56.08</v>
      </c>
      <c r="CN5" s="6">
        <v>378</v>
      </c>
      <c r="CO5" s="6">
        <v>57.3</v>
      </c>
      <c r="CQ5" s="6">
        <v>245</v>
      </c>
      <c r="CR5" s="6">
        <v>57.53</v>
      </c>
      <c r="CT5" s="6">
        <v>369</v>
      </c>
      <c r="CU5" s="6">
        <v>56.65</v>
      </c>
      <c r="CW5" s="21">
        <v>271</v>
      </c>
      <c r="CX5" s="21">
        <v>55.05</v>
      </c>
      <c r="CZ5" s="25">
        <v>231</v>
      </c>
      <c r="DA5" s="25">
        <v>55.4</v>
      </c>
      <c r="DC5" s="6">
        <v>147</v>
      </c>
      <c r="DD5" s="6">
        <v>56.33</v>
      </c>
      <c r="DF5" s="18">
        <v>235</v>
      </c>
      <c r="DG5" s="18">
        <v>56.28</v>
      </c>
      <c r="DI5" s="18">
        <v>233</v>
      </c>
      <c r="DJ5" s="18">
        <v>56.12</v>
      </c>
      <c r="DL5" s="18">
        <v>355</v>
      </c>
      <c r="DM5" s="18">
        <v>55.43</v>
      </c>
      <c r="DO5" s="6">
        <v>319</v>
      </c>
      <c r="DP5" s="6">
        <v>53.77</v>
      </c>
      <c r="DR5" s="6">
        <v>246</v>
      </c>
      <c r="DS5" s="6">
        <v>55.55</v>
      </c>
      <c r="DU5" s="6">
        <v>359</v>
      </c>
      <c r="DV5" s="6">
        <v>57.12</v>
      </c>
      <c r="DX5" s="6">
        <v>368</v>
      </c>
      <c r="DY5" s="6">
        <v>55.94</v>
      </c>
      <c r="EA5" s="6">
        <v>303</v>
      </c>
      <c r="EB5" s="6">
        <v>54.18</v>
      </c>
      <c r="ED5" s="25">
        <v>209</v>
      </c>
      <c r="EE5" s="25">
        <v>51.43</v>
      </c>
      <c r="EG5" s="6">
        <v>138</v>
      </c>
      <c r="EH5" s="6">
        <v>52.58</v>
      </c>
      <c r="EJ5" s="25">
        <v>147</v>
      </c>
      <c r="EK5" s="25">
        <v>52.01</v>
      </c>
      <c r="EM5" s="25">
        <v>149</v>
      </c>
      <c r="EN5" s="25">
        <v>51</v>
      </c>
      <c r="EP5" s="21">
        <v>221</v>
      </c>
      <c r="EQ5" s="25">
        <v>50.44</v>
      </c>
      <c r="ES5" s="21">
        <v>248</v>
      </c>
      <c r="ET5" s="25">
        <v>51.84</v>
      </c>
      <c r="EV5" s="25">
        <v>132</v>
      </c>
      <c r="EW5" s="25">
        <v>52.18</v>
      </c>
      <c r="EY5" s="25">
        <v>107</v>
      </c>
      <c r="EZ5" s="25">
        <v>50.2</v>
      </c>
    </row>
    <row r="6" spans="2:156" x14ac:dyDescent="0.35">
      <c r="B6" s="38">
        <v>219</v>
      </c>
      <c r="C6" s="38">
        <v>51.52</v>
      </c>
      <c r="D6" s="14" t="s">
        <v>58</v>
      </c>
      <c r="E6" s="15">
        <v>195</v>
      </c>
      <c r="F6" s="15">
        <v>51.15</v>
      </c>
      <c r="G6" s="11"/>
      <c r="H6" s="6">
        <v>433</v>
      </c>
      <c r="I6" s="6">
        <v>50.87</v>
      </c>
      <c r="J6" s="17"/>
      <c r="K6" s="6">
        <v>306</v>
      </c>
      <c r="L6" s="6">
        <v>53.4</v>
      </c>
      <c r="N6" s="6">
        <v>237</v>
      </c>
      <c r="O6" s="6">
        <v>57.45</v>
      </c>
      <c r="Q6" s="6">
        <v>128</v>
      </c>
      <c r="R6" s="6">
        <v>54.02</v>
      </c>
      <c r="T6" s="6">
        <v>333</v>
      </c>
      <c r="U6" s="6">
        <v>54.93</v>
      </c>
      <c r="W6" s="6">
        <v>353</v>
      </c>
      <c r="X6" s="6">
        <v>55.21</v>
      </c>
      <c r="Z6" s="6">
        <v>269</v>
      </c>
      <c r="AA6" s="6">
        <v>54.42</v>
      </c>
      <c r="AC6" s="6">
        <v>248</v>
      </c>
      <c r="AD6" s="6">
        <v>58.03</v>
      </c>
      <c r="AF6" s="6">
        <v>129</v>
      </c>
      <c r="AG6" s="6">
        <v>58.01</v>
      </c>
      <c r="AI6" s="18">
        <v>252</v>
      </c>
      <c r="AJ6" s="18">
        <v>57.61</v>
      </c>
      <c r="AL6" s="6">
        <v>275</v>
      </c>
      <c r="AM6" s="6">
        <v>56.71</v>
      </c>
      <c r="AO6" s="6">
        <v>279</v>
      </c>
      <c r="AP6" s="6">
        <v>57.19</v>
      </c>
      <c r="AR6" s="6">
        <v>257</v>
      </c>
      <c r="AS6" s="6">
        <v>55.63</v>
      </c>
      <c r="AU6" s="6">
        <v>192</v>
      </c>
      <c r="AV6" s="6">
        <v>58.61</v>
      </c>
      <c r="AX6" s="6">
        <v>314</v>
      </c>
      <c r="AY6" s="6">
        <v>59.07</v>
      </c>
      <c r="BA6" s="6">
        <v>335</v>
      </c>
      <c r="BB6" s="6">
        <v>57.5</v>
      </c>
      <c r="BD6" s="6">
        <v>555</v>
      </c>
      <c r="BE6" s="6">
        <v>57.01</v>
      </c>
      <c r="BG6" s="6">
        <v>191</v>
      </c>
      <c r="BH6" s="6">
        <v>55.74</v>
      </c>
      <c r="BJ6" s="18">
        <v>282</v>
      </c>
      <c r="BK6" s="18">
        <v>57.63</v>
      </c>
      <c r="BM6" s="6">
        <v>142</v>
      </c>
      <c r="BN6" s="6">
        <v>58.66</v>
      </c>
      <c r="BP6" s="6">
        <v>245</v>
      </c>
      <c r="BQ6" s="6">
        <v>57.09</v>
      </c>
      <c r="BS6" s="6">
        <v>188</v>
      </c>
      <c r="BT6" s="6">
        <v>56.1</v>
      </c>
      <c r="BV6" s="6">
        <v>315</v>
      </c>
      <c r="BW6" s="6">
        <v>58.23</v>
      </c>
      <c r="BY6" s="6">
        <v>617</v>
      </c>
      <c r="BZ6" s="6">
        <v>57.6</v>
      </c>
      <c r="CB6" s="6">
        <v>140</v>
      </c>
      <c r="CC6" s="6">
        <v>56.91</v>
      </c>
      <c r="CE6" s="6">
        <v>384</v>
      </c>
      <c r="CF6" s="6">
        <v>55.9</v>
      </c>
      <c r="CH6" s="6">
        <v>594</v>
      </c>
      <c r="CI6" s="6">
        <v>56.81</v>
      </c>
      <c r="CK6" s="21">
        <v>582</v>
      </c>
      <c r="CL6" s="25">
        <v>56.7</v>
      </c>
      <c r="CN6" s="6">
        <v>665</v>
      </c>
      <c r="CO6" s="6">
        <v>56.85</v>
      </c>
      <c r="CQ6" s="6">
        <v>353</v>
      </c>
      <c r="CR6" s="6">
        <v>57.46</v>
      </c>
      <c r="CT6" s="6">
        <v>543</v>
      </c>
      <c r="CU6" s="6">
        <v>56.68</v>
      </c>
      <c r="CW6" s="21">
        <v>380</v>
      </c>
      <c r="CX6" s="21">
        <v>54.02</v>
      </c>
      <c r="CZ6" s="25">
        <v>342</v>
      </c>
      <c r="DA6" s="25">
        <v>55.34</v>
      </c>
      <c r="DC6" s="6">
        <v>236</v>
      </c>
      <c r="DD6" s="6">
        <v>56.48</v>
      </c>
      <c r="DF6" s="18">
        <v>376</v>
      </c>
      <c r="DG6" s="18">
        <v>56.27</v>
      </c>
      <c r="DI6" s="18">
        <v>463</v>
      </c>
      <c r="DJ6" s="18">
        <v>56.25</v>
      </c>
      <c r="DL6" s="18">
        <v>468</v>
      </c>
      <c r="DM6" s="18">
        <v>55.5</v>
      </c>
      <c r="DO6" s="6">
        <v>420</v>
      </c>
      <c r="DP6" s="6">
        <v>54.28</v>
      </c>
      <c r="DR6" s="6">
        <v>471</v>
      </c>
      <c r="DS6" s="6">
        <v>56.53</v>
      </c>
      <c r="DU6" s="6">
        <v>733</v>
      </c>
      <c r="DV6" s="6">
        <v>57.1</v>
      </c>
      <c r="DX6" s="6">
        <v>515</v>
      </c>
      <c r="DY6" s="6">
        <v>56.48</v>
      </c>
      <c r="EA6" s="6">
        <v>502</v>
      </c>
      <c r="EB6" s="6">
        <v>54.95</v>
      </c>
      <c r="ED6" s="25">
        <v>344</v>
      </c>
      <c r="EE6" s="25">
        <v>51.49</v>
      </c>
      <c r="EF6" s="13" t="s">
        <v>63</v>
      </c>
      <c r="EG6" s="15">
        <v>244</v>
      </c>
      <c r="EH6" s="15">
        <v>53</v>
      </c>
      <c r="EJ6" s="6">
        <v>213</v>
      </c>
      <c r="EK6" s="6">
        <v>50.69</v>
      </c>
      <c r="EL6" s="13" t="s">
        <v>66</v>
      </c>
      <c r="EM6" s="15">
        <v>238</v>
      </c>
      <c r="EN6" s="15">
        <v>49.35</v>
      </c>
      <c r="EP6" s="21">
        <v>359</v>
      </c>
      <c r="EQ6" s="25">
        <v>50.29</v>
      </c>
      <c r="ES6" s="21">
        <v>278</v>
      </c>
      <c r="ET6" s="25">
        <v>51.89</v>
      </c>
      <c r="EV6" s="25">
        <v>210</v>
      </c>
      <c r="EW6" s="25">
        <v>51.26</v>
      </c>
      <c r="EY6" s="25">
        <v>198</v>
      </c>
      <c r="EZ6" s="25">
        <v>50.2</v>
      </c>
    </row>
    <row r="7" spans="2:156" x14ac:dyDescent="0.35">
      <c r="B7" s="38">
        <v>418</v>
      </c>
      <c r="C7" s="38">
        <v>53.18</v>
      </c>
      <c r="E7" s="6">
        <v>239</v>
      </c>
      <c r="F7" s="6">
        <v>50.87</v>
      </c>
      <c r="G7" s="94" t="s">
        <v>57</v>
      </c>
      <c r="H7" s="9">
        <v>568</v>
      </c>
      <c r="I7" s="9">
        <v>50.9</v>
      </c>
      <c r="J7" s="17"/>
      <c r="K7" s="6">
        <v>393</v>
      </c>
      <c r="L7" s="6">
        <v>53.37</v>
      </c>
      <c r="N7" s="6">
        <v>348</v>
      </c>
      <c r="O7" s="6">
        <v>57.55</v>
      </c>
      <c r="Q7" s="6">
        <v>193</v>
      </c>
      <c r="R7" s="6">
        <v>54.2</v>
      </c>
      <c r="T7" s="6">
        <v>467</v>
      </c>
      <c r="U7" s="6">
        <v>54.53</v>
      </c>
      <c r="W7" s="6">
        <v>445</v>
      </c>
      <c r="X7" s="6">
        <v>55.99</v>
      </c>
      <c r="Z7" s="6">
        <v>353</v>
      </c>
      <c r="AA7" s="6">
        <v>55.07</v>
      </c>
      <c r="AC7" s="6">
        <v>339</v>
      </c>
      <c r="AD7" s="6">
        <v>58.27</v>
      </c>
      <c r="AF7" s="6">
        <v>281</v>
      </c>
      <c r="AG7" s="6">
        <v>57.59</v>
      </c>
      <c r="AI7" s="18">
        <v>357</v>
      </c>
      <c r="AJ7" s="18">
        <v>57.5</v>
      </c>
      <c r="AL7" s="6">
        <v>366</v>
      </c>
      <c r="AM7" s="6">
        <v>57.28</v>
      </c>
      <c r="AO7" s="6">
        <v>355</v>
      </c>
      <c r="AP7" s="6">
        <v>57.28</v>
      </c>
      <c r="AR7" s="6">
        <v>354</v>
      </c>
      <c r="AS7" s="6">
        <v>56.27</v>
      </c>
      <c r="AU7" s="6">
        <v>212</v>
      </c>
      <c r="AV7" s="6">
        <v>58.61</v>
      </c>
      <c r="AX7" s="6">
        <v>328</v>
      </c>
      <c r="AY7" s="6">
        <v>58.77</v>
      </c>
      <c r="BA7" s="6">
        <v>442</v>
      </c>
      <c r="BB7" s="6">
        <v>57.47</v>
      </c>
      <c r="BD7" s="6">
        <v>870</v>
      </c>
      <c r="BE7" s="6">
        <v>57.12</v>
      </c>
      <c r="BG7" s="6">
        <v>253</v>
      </c>
      <c r="BH7" s="6">
        <v>55.95</v>
      </c>
      <c r="BJ7" s="18">
        <v>478</v>
      </c>
      <c r="BK7" s="18">
        <v>57.54</v>
      </c>
      <c r="BM7" s="6">
        <v>233</v>
      </c>
      <c r="BN7" s="6">
        <v>59.29</v>
      </c>
      <c r="BP7" s="6">
        <v>528</v>
      </c>
      <c r="BQ7" s="6">
        <v>57.31</v>
      </c>
      <c r="BS7" s="6">
        <v>418</v>
      </c>
      <c r="BT7" s="6">
        <v>55.97</v>
      </c>
      <c r="BV7" s="6">
        <v>402</v>
      </c>
      <c r="BW7" s="6">
        <v>59.46</v>
      </c>
      <c r="BY7" s="6">
        <v>757</v>
      </c>
      <c r="BZ7" s="6">
        <v>57.5</v>
      </c>
      <c r="CB7" s="6">
        <v>238</v>
      </c>
      <c r="CC7" s="6">
        <v>57.84</v>
      </c>
      <c r="CE7" s="6">
        <v>462</v>
      </c>
      <c r="CF7" s="6">
        <v>55.84</v>
      </c>
      <c r="CH7" s="6">
        <v>772</v>
      </c>
      <c r="CI7" s="6">
        <v>55.64</v>
      </c>
      <c r="CK7" s="21">
        <v>808</v>
      </c>
      <c r="CL7" s="25">
        <v>55.67</v>
      </c>
      <c r="CN7" s="6">
        <v>918</v>
      </c>
      <c r="CO7" s="6">
        <v>56.72</v>
      </c>
      <c r="CQ7" s="6">
        <v>558</v>
      </c>
      <c r="CR7" s="6">
        <v>57.45</v>
      </c>
      <c r="CT7" s="6">
        <v>632</v>
      </c>
      <c r="CU7" s="6">
        <v>56.71</v>
      </c>
      <c r="CW7" s="21">
        <v>499</v>
      </c>
      <c r="CX7" s="21">
        <v>54.03</v>
      </c>
      <c r="CZ7" s="25">
        <v>443</v>
      </c>
      <c r="DA7" s="25">
        <v>55.26</v>
      </c>
      <c r="DC7" s="6">
        <v>308</v>
      </c>
      <c r="DD7" s="6">
        <v>56.28</v>
      </c>
      <c r="DF7" s="18">
        <v>560</v>
      </c>
      <c r="DG7" s="18">
        <v>57.76</v>
      </c>
      <c r="DI7" s="18">
        <v>564</v>
      </c>
      <c r="DJ7" s="18">
        <v>56.31</v>
      </c>
      <c r="DL7" s="18">
        <v>650</v>
      </c>
      <c r="DM7" s="18">
        <v>55.76</v>
      </c>
      <c r="DO7" s="6">
        <v>509</v>
      </c>
      <c r="DP7" s="6">
        <v>54.28</v>
      </c>
      <c r="DR7" s="6">
        <v>636</v>
      </c>
      <c r="DS7" s="6">
        <v>56.7</v>
      </c>
      <c r="DU7" s="6">
        <v>971</v>
      </c>
      <c r="DV7" s="6">
        <v>57.08</v>
      </c>
      <c r="DX7" s="6">
        <v>696</v>
      </c>
      <c r="DY7" s="6">
        <v>56.35</v>
      </c>
      <c r="EA7" s="6">
        <v>625</v>
      </c>
      <c r="EB7" s="6">
        <v>55.4</v>
      </c>
      <c r="ED7" s="25">
        <v>440</v>
      </c>
      <c r="EE7" s="25">
        <v>53.07</v>
      </c>
      <c r="EG7" s="6">
        <v>339</v>
      </c>
      <c r="EH7" s="6">
        <v>53.66</v>
      </c>
      <c r="EJ7" s="25">
        <v>418</v>
      </c>
      <c r="EK7" s="25">
        <v>50.82</v>
      </c>
      <c r="EM7" s="25">
        <v>336</v>
      </c>
      <c r="EN7" s="25">
        <v>50.72</v>
      </c>
      <c r="EP7" s="21">
        <v>512</v>
      </c>
      <c r="EQ7" s="25">
        <v>50.68</v>
      </c>
      <c r="ES7" s="21">
        <v>405</v>
      </c>
      <c r="ET7" s="25">
        <v>51.61</v>
      </c>
      <c r="EV7" s="25">
        <v>296</v>
      </c>
      <c r="EW7" s="25">
        <v>49.68</v>
      </c>
      <c r="EY7" s="25">
        <v>310</v>
      </c>
      <c r="EZ7" s="25">
        <v>50.17</v>
      </c>
    </row>
    <row r="8" spans="2:156" x14ac:dyDescent="0.35">
      <c r="B8" s="38">
        <v>613</v>
      </c>
      <c r="C8" s="38">
        <v>52.69</v>
      </c>
      <c r="E8" s="6">
        <v>341</v>
      </c>
      <c r="F8" s="6">
        <v>50.62</v>
      </c>
      <c r="G8" s="95"/>
      <c r="H8" s="9">
        <v>637</v>
      </c>
      <c r="I8" s="9">
        <v>51.61</v>
      </c>
      <c r="J8" s="17"/>
      <c r="K8" s="6">
        <v>514</v>
      </c>
      <c r="L8" s="6">
        <v>52.92</v>
      </c>
      <c r="N8" s="6">
        <v>430</v>
      </c>
      <c r="O8" s="6">
        <v>57.7</v>
      </c>
      <c r="Q8" s="6">
        <v>271</v>
      </c>
      <c r="R8" s="6">
        <v>54.01</v>
      </c>
      <c r="T8" s="6">
        <v>554</v>
      </c>
      <c r="U8" s="6">
        <v>54.67</v>
      </c>
      <c r="W8" s="6">
        <v>589</v>
      </c>
      <c r="X8" s="6">
        <v>54.41</v>
      </c>
      <c r="Z8" s="6">
        <v>446</v>
      </c>
      <c r="AA8" s="6">
        <v>55.63</v>
      </c>
      <c r="AC8" s="6">
        <v>451</v>
      </c>
      <c r="AD8" s="6">
        <v>57.94</v>
      </c>
      <c r="AF8" s="6">
        <v>375</v>
      </c>
      <c r="AG8" s="6">
        <v>58.35</v>
      </c>
      <c r="AI8" s="18">
        <v>418</v>
      </c>
      <c r="AJ8" s="18">
        <v>57.53</v>
      </c>
      <c r="AL8" s="6">
        <v>495</v>
      </c>
      <c r="AM8" s="6">
        <v>58.86</v>
      </c>
      <c r="AO8" s="6">
        <v>385</v>
      </c>
      <c r="AP8" s="6">
        <v>57.36</v>
      </c>
      <c r="AR8" s="6">
        <v>459</v>
      </c>
      <c r="AS8" s="6">
        <v>56.12</v>
      </c>
      <c r="AU8" s="6">
        <v>396</v>
      </c>
      <c r="AV8" s="6">
        <v>58.42</v>
      </c>
      <c r="AX8" s="6">
        <v>490</v>
      </c>
      <c r="AY8" s="6">
        <v>56.81</v>
      </c>
      <c r="BA8" s="6">
        <v>537</v>
      </c>
      <c r="BB8" s="6">
        <v>57.41</v>
      </c>
      <c r="BD8" s="6">
        <v>1117</v>
      </c>
      <c r="BE8" s="6">
        <v>57.2</v>
      </c>
      <c r="BG8" s="6">
        <v>346</v>
      </c>
      <c r="BH8" s="6">
        <v>55.95</v>
      </c>
      <c r="BJ8" s="18">
        <v>577</v>
      </c>
      <c r="BK8" s="18">
        <v>57.62</v>
      </c>
      <c r="BM8" s="6">
        <v>300</v>
      </c>
      <c r="BN8" s="6">
        <v>57.85</v>
      </c>
      <c r="BP8" s="6">
        <v>869</v>
      </c>
      <c r="BQ8" s="6">
        <v>57.46</v>
      </c>
      <c r="BS8" s="6">
        <v>714</v>
      </c>
      <c r="BT8" s="6">
        <v>56.1</v>
      </c>
      <c r="BV8" s="6">
        <v>447</v>
      </c>
      <c r="BW8" s="6">
        <v>59.89</v>
      </c>
      <c r="BY8" s="6">
        <v>1078</v>
      </c>
      <c r="BZ8" s="6">
        <v>57.62</v>
      </c>
      <c r="CB8" s="6">
        <v>334</v>
      </c>
      <c r="CC8" s="6">
        <v>60.3</v>
      </c>
      <c r="CE8" s="6">
        <v>529</v>
      </c>
      <c r="CF8" s="6">
        <v>55.81</v>
      </c>
      <c r="CH8" s="6">
        <v>1016</v>
      </c>
      <c r="CI8" s="6">
        <v>56.11</v>
      </c>
      <c r="CK8" s="21">
        <v>1072</v>
      </c>
      <c r="CL8" s="25">
        <v>56.17</v>
      </c>
      <c r="CN8" s="6">
        <v>1382</v>
      </c>
      <c r="CO8" s="6">
        <v>56.53</v>
      </c>
      <c r="CQ8" s="6">
        <v>753</v>
      </c>
      <c r="CR8" s="6">
        <v>57.46</v>
      </c>
      <c r="CT8" s="6">
        <v>734</v>
      </c>
      <c r="CU8" s="6">
        <v>56.73</v>
      </c>
      <c r="CW8" s="21">
        <v>595</v>
      </c>
      <c r="CX8" s="21">
        <v>54.12</v>
      </c>
      <c r="CZ8" s="25">
        <v>549</v>
      </c>
      <c r="DA8" s="25">
        <v>55.55</v>
      </c>
      <c r="DC8" s="6">
        <v>408</v>
      </c>
      <c r="DD8" s="6">
        <v>56.63</v>
      </c>
      <c r="DF8" s="18">
        <v>757</v>
      </c>
      <c r="DG8" s="18">
        <v>57.65</v>
      </c>
      <c r="DI8" s="18">
        <v>726</v>
      </c>
      <c r="DJ8" s="18">
        <v>56.7</v>
      </c>
      <c r="DL8" s="18">
        <v>867</v>
      </c>
      <c r="DM8" s="18">
        <v>57.02</v>
      </c>
      <c r="DO8" s="6">
        <v>615</v>
      </c>
      <c r="DP8" s="6">
        <v>54.29</v>
      </c>
      <c r="DR8" s="6">
        <v>792</v>
      </c>
      <c r="DS8" s="6">
        <v>56.55</v>
      </c>
      <c r="DU8" s="6">
        <v>1115</v>
      </c>
      <c r="DV8" s="6">
        <v>56.67</v>
      </c>
      <c r="DX8" s="6">
        <v>769</v>
      </c>
      <c r="DY8" s="6">
        <v>56.36</v>
      </c>
      <c r="EA8" s="6">
        <v>717</v>
      </c>
      <c r="EB8" s="6">
        <v>55.55</v>
      </c>
      <c r="ED8" s="25">
        <v>625</v>
      </c>
      <c r="EE8" s="25">
        <v>52.97</v>
      </c>
      <c r="EG8" s="6">
        <v>444</v>
      </c>
      <c r="EH8" s="6">
        <v>54.19</v>
      </c>
      <c r="EJ8" s="25">
        <v>602</v>
      </c>
      <c r="EK8" s="25">
        <v>52.03</v>
      </c>
      <c r="EM8" s="25">
        <v>451</v>
      </c>
      <c r="EN8" s="25">
        <v>50.9</v>
      </c>
      <c r="EP8" s="21">
        <v>572</v>
      </c>
      <c r="EQ8" s="25">
        <v>50.14</v>
      </c>
      <c r="ES8" s="21">
        <v>506</v>
      </c>
      <c r="ET8" s="25">
        <v>51.05</v>
      </c>
      <c r="EV8" s="25">
        <v>388</v>
      </c>
      <c r="EW8" s="25">
        <v>50</v>
      </c>
      <c r="EY8" s="25">
        <v>401</v>
      </c>
      <c r="EZ8" s="25">
        <v>50.13</v>
      </c>
    </row>
    <row r="9" spans="2:156" x14ac:dyDescent="0.35">
      <c r="B9" s="38">
        <v>706</v>
      </c>
      <c r="C9" s="38">
        <v>53.36</v>
      </c>
      <c r="E9" s="6">
        <v>447</v>
      </c>
      <c r="F9" s="6">
        <v>50.65</v>
      </c>
      <c r="G9" s="11"/>
      <c r="H9" s="6">
        <v>725</v>
      </c>
      <c r="I9" s="6">
        <v>52.01</v>
      </c>
      <c r="J9" s="17"/>
      <c r="K9" s="6">
        <v>617</v>
      </c>
      <c r="L9" s="6">
        <v>52.91</v>
      </c>
      <c r="N9" s="6">
        <v>521</v>
      </c>
      <c r="O9" s="6">
        <v>57.61</v>
      </c>
      <c r="Q9" s="6">
        <v>366</v>
      </c>
      <c r="R9" s="6">
        <v>53.9</v>
      </c>
      <c r="T9" s="6">
        <v>661</v>
      </c>
      <c r="U9" s="6">
        <v>54.57</v>
      </c>
      <c r="W9" s="6">
        <v>691</v>
      </c>
      <c r="X9" s="6">
        <v>54.73</v>
      </c>
      <c r="Z9" s="6">
        <v>548</v>
      </c>
      <c r="AA9" s="6">
        <v>55.28</v>
      </c>
      <c r="AC9" s="6">
        <v>549</v>
      </c>
      <c r="AD9" s="6">
        <v>57.95</v>
      </c>
      <c r="AF9" s="6">
        <v>497</v>
      </c>
      <c r="AG9" s="6">
        <v>57.68</v>
      </c>
      <c r="AI9" s="18">
        <v>502</v>
      </c>
      <c r="AJ9" s="18">
        <v>57.38</v>
      </c>
      <c r="AL9" s="6">
        <v>594</v>
      </c>
      <c r="AM9" s="6">
        <v>57.8</v>
      </c>
      <c r="AO9" s="6">
        <v>478</v>
      </c>
      <c r="AP9" s="6">
        <v>57.98</v>
      </c>
      <c r="AR9" s="6">
        <v>544</v>
      </c>
      <c r="AS9" s="6">
        <v>56.39</v>
      </c>
      <c r="AU9" s="6">
        <v>624</v>
      </c>
      <c r="AV9" s="6">
        <v>58.42</v>
      </c>
      <c r="AX9" s="6">
        <v>614</v>
      </c>
      <c r="AY9" s="6">
        <v>57.56</v>
      </c>
      <c r="BA9" s="6">
        <v>627</v>
      </c>
      <c r="BB9" s="6">
        <v>57.37</v>
      </c>
      <c r="BD9" s="6">
        <v>1244</v>
      </c>
      <c r="BE9" s="6">
        <v>57.04</v>
      </c>
      <c r="BG9" s="6">
        <v>454</v>
      </c>
      <c r="BH9" s="6">
        <v>55.94</v>
      </c>
      <c r="BJ9" s="18">
        <v>902</v>
      </c>
      <c r="BK9" s="18">
        <v>57.59</v>
      </c>
      <c r="BM9" s="6">
        <v>402</v>
      </c>
      <c r="BN9" s="6">
        <v>57.69</v>
      </c>
      <c r="BP9" s="6">
        <v>997</v>
      </c>
      <c r="BQ9" s="6">
        <v>57.28</v>
      </c>
      <c r="BS9" s="6">
        <v>962</v>
      </c>
      <c r="BT9" s="6">
        <v>56.54</v>
      </c>
      <c r="BV9" s="6">
        <v>523</v>
      </c>
      <c r="BW9" s="6">
        <v>59.62</v>
      </c>
      <c r="BY9" s="6">
        <v>1145</v>
      </c>
      <c r="BZ9" s="6">
        <v>57.49</v>
      </c>
      <c r="CB9" s="6">
        <v>434</v>
      </c>
      <c r="CC9" s="6">
        <v>59.57</v>
      </c>
      <c r="CE9" s="6">
        <v>743</v>
      </c>
      <c r="CF9" s="6">
        <v>56.11</v>
      </c>
      <c r="CH9" s="6">
        <v>1441</v>
      </c>
      <c r="CI9" s="6">
        <v>55.02</v>
      </c>
      <c r="CK9" s="21">
        <v>1270</v>
      </c>
      <c r="CL9" s="25">
        <v>56.43</v>
      </c>
      <c r="CN9" s="6">
        <v>1424</v>
      </c>
      <c r="CO9" s="6">
        <v>56.5</v>
      </c>
      <c r="CQ9" s="6">
        <v>854</v>
      </c>
      <c r="CR9" s="6">
        <v>57.56</v>
      </c>
      <c r="CT9" s="6">
        <v>904</v>
      </c>
      <c r="CU9" s="6">
        <v>56.98</v>
      </c>
      <c r="CW9" s="21">
        <v>684</v>
      </c>
      <c r="CX9" s="21">
        <v>55.05</v>
      </c>
      <c r="CZ9" s="25">
        <v>655</v>
      </c>
      <c r="DA9" s="25">
        <v>55.48</v>
      </c>
      <c r="DB9" s="13" t="s">
        <v>54</v>
      </c>
      <c r="DC9" s="15">
        <v>435</v>
      </c>
      <c r="DD9" s="15">
        <v>57.17</v>
      </c>
      <c r="DF9" s="18">
        <v>870</v>
      </c>
      <c r="DG9" s="18">
        <v>58.04</v>
      </c>
      <c r="DI9" s="18">
        <v>817</v>
      </c>
      <c r="DJ9" s="18">
        <v>56.83</v>
      </c>
      <c r="DL9" s="18">
        <v>1019</v>
      </c>
      <c r="DM9" s="18">
        <v>56.18</v>
      </c>
      <c r="DO9" s="6">
        <v>710</v>
      </c>
      <c r="DP9" s="6">
        <v>53.82</v>
      </c>
      <c r="DR9" s="6">
        <v>1124</v>
      </c>
      <c r="DS9" s="6">
        <v>56.98</v>
      </c>
      <c r="DT9" s="13" t="s">
        <v>54</v>
      </c>
      <c r="DU9" s="15">
        <v>1260</v>
      </c>
      <c r="DV9" s="15">
        <v>57.17</v>
      </c>
      <c r="DX9" s="6">
        <v>855</v>
      </c>
      <c r="DY9" s="6">
        <v>56.39</v>
      </c>
      <c r="EA9" s="6">
        <v>787</v>
      </c>
      <c r="EB9" s="6">
        <v>56</v>
      </c>
      <c r="ED9" s="25">
        <v>738</v>
      </c>
      <c r="EE9" s="25">
        <v>53.78</v>
      </c>
      <c r="EG9" s="6">
        <v>554</v>
      </c>
      <c r="EH9" s="6">
        <v>54.11</v>
      </c>
      <c r="EJ9" s="25">
        <v>764</v>
      </c>
      <c r="EK9" s="25">
        <v>52.74</v>
      </c>
      <c r="EM9" s="25">
        <v>538</v>
      </c>
      <c r="EN9" s="25">
        <v>50.9</v>
      </c>
      <c r="EP9" s="21">
        <v>666</v>
      </c>
      <c r="EQ9" s="25">
        <v>51.02</v>
      </c>
      <c r="ES9" s="21">
        <v>620</v>
      </c>
      <c r="ET9" s="25">
        <v>50.87</v>
      </c>
      <c r="EV9" s="25">
        <v>456</v>
      </c>
      <c r="EW9" s="25">
        <v>48.32</v>
      </c>
      <c r="EY9" s="25">
        <v>497</v>
      </c>
      <c r="EZ9" s="25">
        <v>50.28</v>
      </c>
    </row>
    <row r="10" spans="2:156" x14ac:dyDescent="0.35">
      <c r="B10" s="38">
        <v>819</v>
      </c>
      <c r="C10" s="38">
        <v>53.73</v>
      </c>
      <c r="E10" s="6">
        <v>547</v>
      </c>
      <c r="F10" s="6">
        <v>50.65</v>
      </c>
      <c r="G10" s="11"/>
      <c r="H10" s="6">
        <v>836</v>
      </c>
      <c r="I10" s="6">
        <v>51.48</v>
      </c>
      <c r="J10" s="17"/>
      <c r="K10" s="6">
        <v>720</v>
      </c>
      <c r="L10" s="6">
        <v>52.82</v>
      </c>
      <c r="N10" s="6">
        <v>632</v>
      </c>
      <c r="O10" s="6">
        <v>57.55</v>
      </c>
      <c r="Q10" s="6">
        <v>427</v>
      </c>
      <c r="R10" s="6">
        <v>53.93</v>
      </c>
      <c r="T10" s="6">
        <v>783</v>
      </c>
      <c r="U10" s="6">
        <v>54.53</v>
      </c>
      <c r="W10" s="6">
        <v>894</v>
      </c>
      <c r="X10" s="6">
        <v>54.83</v>
      </c>
      <c r="Z10" s="6">
        <v>673</v>
      </c>
      <c r="AA10" s="6">
        <v>55.66</v>
      </c>
      <c r="AC10" s="6">
        <v>559</v>
      </c>
      <c r="AD10" s="6">
        <v>57.88</v>
      </c>
      <c r="AF10" s="6">
        <v>614</v>
      </c>
      <c r="AG10" s="6">
        <v>57.85</v>
      </c>
      <c r="AI10" s="18">
        <v>593</v>
      </c>
      <c r="AJ10" s="18">
        <v>57.54</v>
      </c>
      <c r="AL10" s="6">
        <v>694</v>
      </c>
      <c r="AM10" s="6">
        <v>57.69</v>
      </c>
      <c r="AO10" s="6">
        <v>582</v>
      </c>
      <c r="AP10" s="6">
        <v>57.21</v>
      </c>
      <c r="AR10" s="6">
        <v>646</v>
      </c>
      <c r="AS10" s="6">
        <v>56.44</v>
      </c>
      <c r="AU10" s="6">
        <v>912</v>
      </c>
      <c r="AV10" s="6">
        <v>57.53</v>
      </c>
      <c r="AX10" s="6">
        <v>737</v>
      </c>
      <c r="AY10" s="6">
        <v>57.44</v>
      </c>
      <c r="BA10" s="6">
        <v>732</v>
      </c>
      <c r="BB10" s="6">
        <v>57.59</v>
      </c>
      <c r="BD10" s="6">
        <v>1498</v>
      </c>
      <c r="BE10" s="6">
        <v>57.26</v>
      </c>
      <c r="BG10" s="6">
        <v>633</v>
      </c>
      <c r="BH10" s="6">
        <v>56.05</v>
      </c>
      <c r="BJ10" s="18">
        <v>1184</v>
      </c>
      <c r="BK10" s="18">
        <v>57.65</v>
      </c>
      <c r="BM10" s="6">
        <v>508</v>
      </c>
      <c r="BN10" s="6">
        <v>57.82</v>
      </c>
      <c r="BP10" s="6">
        <v>1147</v>
      </c>
      <c r="BQ10" s="6">
        <v>57.29</v>
      </c>
      <c r="BS10" s="6">
        <v>1173</v>
      </c>
      <c r="BT10" s="6">
        <v>56.44</v>
      </c>
      <c r="BV10" s="6">
        <v>667</v>
      </c>
      <c r="BW10" s="6">
        <v>59.71</v>
      </c>
      <c r="BY10" s="6">
        <v>1225</v>
      </c>
      <c r="BZ10" s="6">
        <v>57.43</v>
      </c>
      <c r="CB10" s="6">
        <v>526</v>
      </c>
      <c r="CC10" s="6">
        <v>57.72</v>
      </c>
      <c r="CE10" s="6">
        <v>939</v>
      </c>
      <c r="CF10" s="6">
        <v>56.18</v>
      </c>
      <c r="CH10" s="6">
        <v>1587</v>
      </c>
      <c r="CI10" s="6">
        <v>54.67</v>
      </c>
      <c r="CK10" s="21">
        <v>1496</v>
      </c>
      <c r="CL10" s="25">
        <v>55.5</v>
      </c>
      <c r="CN10" s="6">
        <v>1530</v>
      </c>
      <c r="CO10" s="6">
        <v>56.3</v>
      </c>
      <c r="CQ10" s="6">
        <v>944</v>
      </c>
      <c r="CR10" s="6">
        <v>56.11</v>
      </c>
      <c r="CT10" s="6">
        <v>1105</v>
      </c>
      <c r="CU10" s="6">
        <v>56.69</v>
      </c>
      <c r="CW10" s="21">
        <v>769</v>
      </c>
      <c r="CX10" s="21">
        <v>55.12</v>
      </c>
      <c r="CZ10" s="25">
        <v>757</v>
      </c>
      <c r="DA10" s="25">
        <v>55.37</v>
      </c>
      <c r="DF10" s="18">
        <v>1039</v>
      </c>
      <c r="DG10" s="18">
        <v>56.38</v>
      </c>
      <c r="DI10" s="18">
        <v>1072</v>
      </c>
      <c r="DJ10" s="18">
        <v>56.82</v>
      </c>
      <c r="DL10" s="18">
        <v>1198</v>
      </c>
      <c r="DM10" s="18">
        <v>56.31</v>
      </c>
      <c r="DO10" s="6">
        <v>802</v>
      </c>
      <c r="DP10" s="6">
        <v>53.95</v>
      </c>
      <c r="DR10" s="6">
        <v>1402</v>
      </c>
      <c r="DS10" s="6">
        <v>56.84</v>
      </c>
      <c r="DX10" s="6">
        <v>939</v>
      </c>
      <c r="DY10" s="6">
        <v>56.42</v>
      </c>
      <c r="EA10" s="6">
        <v>889</v>
      </c>
      <c r="EB10" s="6">
        <v>56.67</v>
      </c>
      <c r="ED10" s="25">
        <v>956</v>
      </c>
      <c r="EE10" s="25">
        <v>54.18</v>
      </c>
      <c r="EG10" s="6">
        <v>644</v>
      </c>
      <c r="EH10" s="6">
        <v>53.3</v>
      </c>
      <c r="EJ10" s="25">
        <v>884</v>
      </c>
      <c r="EK10" s="25">
        <v>53.36</v>
      </c>
      <c r="EM10" s="25">
        <v>653</v>
      </c>
      <c r="EN10" s="25">
        <v>49.97</v>
      </c>
      <c r="EP10" s="21">
        <v>757</v>
      </c>
      <c r="EQ10" s="25">
        <v>51.39</v>
      </c>
      <c r="ES10" s="21">
        <v>740</v>
      </c>
      <c r="ET10" s="25">
        <v>50.66</v>
      </c>
      <c r="EV10" s="25">
        <v>571</v>
      </c>
      <c r="EW10" s="25">
        <v>47.2</v>
      </c>
      <c r="EY10" s="25">
        <v>745</v>
      </c>
      <c r="EZ10" s="25">
        <v>51.21</v>
      </c>
    </row>
    <row r="11" spans="2:156" x14ac:dyDescent="0.35">
      <c r="B11" s="38">
        <v>956</v>
      </c>
      <c r="C11" s="38">
        <v>53.17</v>
      </c>
      <c r="E11" s="6">
        <v>641</v>
      </c>
      <c r="F11" s="6">
        <v>50.69</v>
      </c>
      <c r="G11" s="11"/>
      <c r="H11" s="6">
        <v>1064</v>
      </c>
      <c r="I11" s="6">
        <v>51.47</v>
      </c>
      <c r="J11" s="17"/>
      <c r="K11" s="6">
        <v>816</v>
      </c>
      <c r="L11" s="6">
        <v>52.78</v>
      </c>
      <c r="N11" s="6">
        <v>728</v>
      </c>
      <c r="O11" s="6">
        <v>57.95</v>
      </c>
      <c r="Q11" s="6">
        <v>524</v>
      </c>
      <c r="R11" s="6">
        <v>53.91</v>
      </c>
      <c r="T11" s="6">
        <v>886</v>
      </c>
      <c r="U11" s="6">
        <v>55.06</v>
      </c>
      <c r="W11" s="6">
        <v>961</v>
      </c>
      <c r="X11" s="6">
        <v>55.12</v>
      </c>
      <c r="Z11" s="6">
        <v>766</v>
      </c>
      <c r="AA11" s="6">
        <v>55.73</v>
      </c>
      <c r="AC11" s="6">
        <v>624</v>
      </c>
      <c r="AD11" s="6">
        <v>56.32</v>
      </c>
      <c r="AF11" s="6">
        <v>713</v>
      </c>
      <c r="AG11" s="6">
        <v>57.88</v>
      </c>
      <c r="AI11" s="18">
        <v>692</v>
      </c>
      <c r="AJ11" s="18">
        <v>57.55</v>
      </c>
      <c r="AL11" s="6">
        <v>890</v>
      </c>
      <c r="AM11" s="6">
        <v>57.74</v>
      </c>
      <c r="AO11" s="6">
        <v>674</v>
      </c>
      <c r="AP11" s="6">
        <v>57.22</v>
      </c>
      <c r="AR11" s="6">
        <v>733</v>
      </c>
      <c r="AS11" s="6">
        <v>57.1</v>
      </c>
      <c r="AU11" s="6">
        <v>1000</v>
      </c>
      <c r="AV11" s="6">
        <v>58.62</v>
      </c>
      <c r="AX11" s="6">
        <v>812</v>
      </c>
      <c r="AY11" s="6">
        <v>57.5</v>
      </c>
      <c r="BA11" s="6">
        <v>831</v>
      </c>
      <c r="BB11" s="6">
        <v>57.5</v>
      </c>
      <c r="BD11" s="6">
        <v>1661</v>
      </c>
      <c r="BE11" s="6">
        <v>57.09</v>
      </c>
      <c r="BG11" s="6">
        <v>736</v>
      </c>
      <c r="BH11" s="6">
        <v>55.98</v>
      </c>
      <c r="BJ11" s="18">
        <v>1395</v>
      </c>
      <c r="BK11" s="18">
        <v>58.51</v>
      </c>
      <c r="BM11" s="6">
        <v>611</v>
      </c>
      <c r="BN11" s="6">
        <v>57.92</v>
      </c>
      <c r="BP11" s="6">
        <v>1335</v>
      </c>
      <c r="BQ11" s="6">
        <v>57.28</v>
      </c>
      <c r="BS11" s="6">
        <v>1411</v>
      </c>
      <c r="BT11" s="6">
        <v>56.41</v>
      </c>
      <c r="BV11" s="6">
        <v>737</v>
      </c>
      <c r="BW11" s="6">
        <v>59.16</v>
      </c>
      <c r="BY11" s="6">
        <v>1309</v>
      </c>
      <c r="BZ11" s="6">
        <v>57.45</v>
      </c>
      <c r="CB11" s="6">
        <v>717</v>
      </c>
      <c r="CC11" s="6">
        <v>57.22</v>
      </c>
      <c r="CE11" s="6">
        <v>1167</v>
      </c>
      <c r="CF11" s="6">
        <v>55.02</v>
      </c>
      <c r="CH11" s="6">
        <v>1834</v>
      </c>
      <c r="CI11" s="6">
        <v>55.06</v>
      </c>
      <c r="CK11" s="21">
        <v>1668</v>
      </c>
      <c r="CL11" s="25">
        <v>56.14</v>
      </c>
      <c r="CN11" s="6">
        <v>1799</v>
      </c>
      <c r="CO11" s="6">
        <v>56.23</v>
      </c>
      <c r="CQ11" s="6">
        <v>1099</v>
      </c>
      <c r="CR11" s="6">
        <v>57.5</v>
      </c>
      <c r="CT11" s="6">
        <v>1528</v>
      </c>
      <c r="CU11" s="6">
        <v>56.24</v>
      </c>
      <c r="CW11" s="21">
        <v>887</v>
      </c>
      <c r="CX11" s="21">
        <v>55.43</v>
      </c>
      <c r="CZ11" s="25">
        <v>856</v>
      </c>
      <c r="DA11" s="25">
        <v>55.17</v>
      </c>
      <c r="DF11" s="18">
        <v>1121</v>
      </c>
      <c r="DG11" s="18">
        <v>57.2</v>
      </c>
      <c r="DI11" s="18">
        <v>1218</v>
      </c>
      <c r="DJ11" s="18">
        <v>56.77</v>
      </c>
      <c r="DL11" s="18">
        <v>1454</v>
      </c>
      <c r="DM11" s="18">
        <v>56.83</v>
      </c>
      <c r="DO11" s="6">
        <v>880</v>
      </c>
      <c r="DP11" s="6">
        <v>53.77</v>
      </c>
      <c r="DQ11" s="19" t="s">
        <v>54</v>
      </c>
      <c r="DR11" s="9">
        <v>1522</v>
      </c>
      <c r="DS11" s="9">
        <v>57.17</v>
      </c>
      <c r="DX11" s="6">
        <v>1069</v>
      </c>
      <c r="DY11" s="6">
        <v>56.32</v>
      </c>
      <c r="EA11" s="6">
        <v>1036</v>
      </c>
      <c r="EB11" s="6">
        <v>56.36</v>
      </c>
      <c r="ED11" s="25">
        <v>1075</v>
      </c>
      <c r="EE11" s="25">
        <v>54.18</v>
      </c>
      <c r="EG11" s="6">
        <v>827</v>
      </c>
      <c r="EH11" s="6">
        <v>48.01</v>
      </c>
      <c r="EJ11" s="25">
        <v>1082</v>
      </c>
      <c r="EK11" s="25">
        <v>53.49</v>
      </c>
      <c r="EM11" s="25">
        <v>775</v>
      </c>
      <c r="EN11" s="25">
        <v>51.24</v>
      </c>
      <c r="EP11" s="21">
        <v>852</v>
      </c>
      <c r="EQ11" s="25">
        <v>51.77</v>
      </c>
      <c r="ES11" s="21">
        <v>927</v>
      </c>
      <c r="ET11" s="25">
        <v>50.62</v>
      </c>
      <c r="EV11" s="25">
        <v>662</v>
      </c>
      <c r="EW11" s="25">
        <v>46.52</v>
      </c>
      <c r="EY11" s="25">
        <v>974</v>
      </c>
      <c r="EZ11" s="25">
        <v>48.98</v>
      </c>
    </row>
    <row r="12" spans="2:156" x14ac:dyDescent="0.35">
      <c r="B12" s="38">
        <v>1045</v>
      </c>
      <c r="C12" s="38">
        <v>53.28</v>
      </c>
      <c r="E12" s="6">
        <v>782</v>
      </c>
      <c r="F12" s="6">
        <v>50.96</v>
      </c>
      <c r="G12" s="11"/>
      <c r="H12" s="6">
        <v>1144</v>
      </c>
      <c r="I12" s="6">
        <v>51.3</v>
      </c>
      <c r="J12" s="17"/>
      <c r="K12" s="15">
        <v>888</v>
      </c>
      <c r="L12" s="15">
        <v>52.83</v>
      </c>
      <c r="N12" s="6">
        <v>826</v>
      </c>
      <c r="O12" s="6">
        <v>57.8</v>
      </c>
      <c r="Q12" s="6">
        <v>593</v>
      </c>
      <c r="R12" s="6">
        <v>53.77</v>
      </c>
      <c r="T12" s="6">
        <v>989</v>
      </c>
      <c r="U12" s="6">
        <v>55.04</v>
      </c>
      <c r="W12" s="6">
        <v>1120</v>
      </c>
      <c r="X12" s="6">
        <v>55.76</v>
      </c>
      <c r="Z12" s="6">
        <v>871</v>
      </c>
      <c r="AA12" s="6">
        <v>56.31</v>
      </c>
      <c r="AC12" s="6">
        <v>690</v>
      </c>
      <c r="AD12" s="6">
        <v>57.03</v>
      </c>
      <c r="AF12" s="6">
        <v>821</v>
      </c>
      <c r="AG12" s="6">
        <v>58.01</v>
      </c>
      <c r="AI12" s="18">
        <v>779</v>
      </c>
      <c r="AJ12" s="18">
        <v>57.51</v>
      </c>
      <c r="AL12" s="6">
        <v>976</v>
      </c>
      <c r="AM12" s="6">
        <v>58.69</v>
      </c>
      <c r="AO12" s="6">
        <v>786</v>
      </c>
      <c r="AP12" s="6">
        <v>57.13</v>
      </c>
      <c r="AR12" s="6">
        <v>819</v>
      </c>
      <c r="AS12" s="6">
        <v>57.26</v>
      </c>
      <c r="AU12" s="6">
        <v>1181</v>
      </c>
      <c r="AV12" s="6">
        <v>57.72</v>
      </c>
      <c r="AX12" s="6">
        <v>974</v>
      </c>
      <c r="AY12" s="6">
        <v>57.5</v>
      </c>
      <c r="BA12" s="6">
        <v>1047</v>
      </c>
      <c r="BB12" s="6">
        <v>57.51</v>
      </c>
      <c r="BD12" s="6">
        <v>1934</v>
      </c>
      <c r="BE12" s="6">
        <v>57.31</v>
      </c>
      <c r="BG12" s="6">
        <v>841</v>
      </c>
      <c r="BH12" s="6">
        <v>55.93</v>
      </c>
      <c r="BJ12" s="18">
        <v>1520</v>
      </c>
      <c r="BK12" s="18">
        <v>58.57</v>
      </c>
      <c r="BM12" s="6">
        <v>708</v>
      </c>
      <c r="BN12" s="6">
        <v>58.9</v>
      </c>
      <c r="BP12" s="6">
        <v>1446</v>
      </c>
      <c r="BQ12" s="6">
        <v>57.52</v>
      </c>
      <c r="BS12" s="6">
        <v>1769</v>
      </c>
      <c r="BT12" s="6">
        <v>56.45</v>
      </c>
      <c r="BV12" s="6">
        <v>820</v>
      </c>
      <c r="BW12" s="6">
        <v>58.8</v>
      </c>
      <c r="BY12" s="6">
        <v>1596</v>
      </c>
      <c r="BZ12" s="6">
        <v>57.49</v>
      </c>
      <c r="CB12" s="6">
        <v>933</v>
      </c>
      <c r="CC12" s="6">
        <v>57.46</v>
      </c>
      <c r="CE12" s="6">
        <v>1314</v>
      </c>
      <c r="CF12" s="6">
        <v>54.67</v>
      </c>
      <c r="CH12" s="6">
        <v>2074</v>
      </c>
      <c r="CI12" s="6">
        <v>55.5</v>
      </c>
      <c r="CK12" s="21">
        <v>1974</v>
      </c>
      <c r="CL12" s="25">
        <v>56.18</v>
      </c>
      <c r="CN12" s="6">
        <v>1897</v>
      </c>
      <c r="CO12" s="6">
        <v>56.33</v>
      </c>
      <c r="CQ12" s="6">
        <v>1216</v>
      </c>
      <c r="CR12" s="6">
        <v>57.49</v>
      </c>
      <c r="CT12" s="6">
        <v>1700</v>
      </c>
      <c r="CU12" s="6">
        <v>56.51</v>
      </c>
      <c r="CW12" s="21">
        <v>1003</v>
      </c>
      <c r="CX12" s="21">
        <v>55.61</v>
      </c>
      <c r="CZ12" s="25">
        <v>973</v>
      </c>
      <c r="DA12" s="25">
        <v>55.13</v>
      </c>
      <c r="DE12" s="19" t="s">
        <v>54</v>
      </c>
      <c r="DF12" s="23">
        <v>1177</v>
      </c>
      <c r="DG12" s="23">
        <v>57.64</v>
      </c>
      <c r="DI12" s="18">
        <v>1459</v>
      </c>
      <c r="DJ12" s="18">
        <v>56.24</v>
      </c>
      <c r="DL12" s="18">
        <v>1718</v>
      </c>
      <c r="DM12" s="18">
        <v>56.82</v>
      </c>
      <c r="DO12" s="6">
        <v>993</v>
      </c>
      <c r="DP12" s="6">
        <v>53.47</v>
      </c>
      <c r="DX12" s="6">
        <v>1150</v>
      </c>
      <c r="DY12" s="6">
        <v>56.24</v>
      </c>
      <c r="EA12" s="6">
        <v>1193</v>
      </c>
      <c r="EB12" s="6">
        <v>56.83</v>
      </c>
      <c r="ED12" s="25">
        <v>1142</v>
      </c>
      <c r="EE12" s="25">
        <v>54.95</v>
      </c>
      <c r="EG12" s="6">
        <v>921</v>
      </c>
      <c r="EH12" s="6">
        <v>49.61</v>
      </c>
      <c r="EJ12" s="25">
        <v>1175</v>
      </c>
      <c r="EK12" s="25">
        <v>53.2</v>
      </c>
      <c r="EM12" s="25">
        <v>872</v>
      </c>
      <c r="EN12" s="25">
        <v>52.18</v>
      </c>
      <c r="EP12" s="21">
        <v>956</v>
      </c>
      <c r="EQ12" s="25">
        <v>53.09</v>
      </c>
      <c r="ES12" s="21">
        <v>1159</v>
      </c>
      <c r="ET12" s="25">
        <v>50.82</v>
      </c>
      <c r="EV12" s="25">
        <v>857</v>
      </c>
      <c r="EW12" s="25">
        <v>45.92</v>
      </c>
      <c r="EY12" s="25">
        <v>1080</v>
      </c>
      <c r="EZ12" s="25">
        <v>49.16</v>
      </c>
    </row>
    <row r="13" spans="2:156" x14ac:dyDescent="0.35">
      <c r="B13" s="38">
        <v>1169</v>
      </c>
      <c r="C13" s="38">
        <v>53.91</v>
      </c>
      <c r="E13" s="6">
        <v>876</v>
      </c>
      <c r="F13" s="6">
        <v>50.93</v>
      </c>
      <c r="G13" s="8" t="s">
        <v>56</v>
      </c>
      <c r="H13" s="9">
        <v>1170</v>
      </c>
      <c r="I13" s="9">
        <v>51.15</v>
      </c>
      <c r="J13" s="16" t="s">
        <v>57</v>
      </c>
      <c r="K13" s="15">
        <v>994</v>
      </c>
      <c r="L13" s="15">
        <v>52.8</v>
      </c>
      <c r="N13" s="6">
        <v>933</v>
      </c>
      <c r="O13" s="6">
        <v>58.12</v>
      </c>
      <c r="Q13" s="6">
        <v>719</v>
      </c>
      <c r="R13" s="6">
        <v>55.51</v>
      </c>
      <c r="T13" s="6">
        <v>1074</v>
      </c>
      <c r="U13" s="6">
        <v>54.36</v>
      </c>
      <c r="W13" s="6">
        <v>1308</v>
      </c>
      <c r="X13" s="6">
        <v>55.99</v>
      </c>
      <c r="Z13" s="6">
        <v>1172</v>
      </c>
      <c r="AA13" s="6">
        <v>57.5</v>
      </c>
      <c r="AC13" s="6">
        <v>789</v>
      </c>
      <c r="AD13" s="6">
        <v>56.84</v>
      </c>
      <c r="AF13" s="6">
        <v>923</v>
      </c>
      <c r="AG13" s="6">
        <v>58.19</v>
      </c>
      <c r="AI13" s="18">
        <v>897</v>
      </c>
      <c r="AJ13" s="18">
        <v>57.55</v>
      </c>
      <c r="AL13" s="6">
        <v>997</v>
      </c>
      <c r="AM13" s="6">
        <v>58.01</v>
      </c>
      <c r="AO13" s="6">
        <v>879</v>
      </c>
      <c r="AP13" s="6">
        <v>56.81</v>
      </c>
      <c r="AQ13" s="19" t="s">
        <v>61</v>
      </c>
      <c r="AR13" s="9">
        <v>907</v>
      </c>
      <c r="AS13" s="9">
        <v>57.21</v>
      </c>
      <c r="AU13" s="6">
        <v>1383</v>
      </c>
      <c r="AV13" s="6">
        <v>57.6</v>
      </c>
      <c r="AX13" s="6">
        <v>1048</v>
      </c>
      <c r="AY13" s="6">
        <v>57.6</v>
      </c>
      <c r="BA13" s="6">
        <v>1166</v>
      </c>
      <c r="BB13" s="6">
        <v>57.63</v>
      </c>
      <c r="BD13" s="6">
        <v>2064</v>
      </c>
      <c r="BE13" s="6">
        <v>57.5</v>
      </c>
      <c r="BG13" s="6">
        <v>940</v>
      </c>
      <c r="BH13" s="6">
        <v>55.94</v>
      </c>
      <c r="BJ13" s="18">
        <v>1750</v>
      </c>
      <c r="BK13" s="18">
        <v>58.11</v>
      </c>
      <c r="BM13" s="6">
        <v>798</v>
      </c>
      <c r="BN13" s="6">
        <v>58.84</v>
      </c>
      <c r="BP13" s="6">
        <v>1574</v>
      </c>
      <c r="BQ13" s="6">
        <v>57.65</v>
      </c>
      <c r="BS13" s="6">
        <v>1952</v>
      </c>
      <c r="BT13" s="6">
        <v>56.47</v>
      </c>
      <c r="BV13" s="6">
        <v>902</v>
      </c>
      <c r="BW13" s="6">
        <v>58.62</v>
      </c>
      <c r="BY13" s="6">
        <v>1723</v>
      </c>
      <c r="BZ13" s="6">
        <v>57.49</v>
      </c>
      <c r="CB13" s="6">
        <v>1198</v>
      </c>
      <c r="CC13" s="6">
        <v>57.47</v>
      </c>
      <c r="CE13" s="6">
        <v>1426</v>
      </c>
      <c r="CF13" s="6">
        <v>54.82</v>
      </c>
      <c r="CH13" s="6">
        <v>2394</v>
      </c>
      <c r="CI13" s="6">
        <v>55.89</v>
      </c>
      <c r="CK13" s="21">
        <v>2093</v>
      </c>
      <c r="CL13" s="25">
        <v>55.67</v>
      </c>
      <c r="CN13" s="6">
        <v>2050</v>
      </c>
      <c r="CO13" s="6">
        <v>56.56</v>
      </c>
      <c r="CQ13" s="6">
        <v>1345</v>
      </c>
      <c r="CR13" s="6">
        <v>57.71</v>
      </c>
      <c r="CT13" s="6">
        <v>2012</v>
      </c>
      <c r="CU13" s="6">
        <v>58.11</v>
      </c>
      <c r="CW13" s="21">
        <v>1118</v>
      </c>
      <c r="CX13" s="21">
        <v>55.66</v>
      </c>
      <c r="CZ13" s="25">
        <v>1044</v>
      </c>
      <c r="DA13" s="25">
        <v>55.01</v>
      </c>
      <c r="DI13" s="18">
        <v>1622</v>
      </c>
      <c r="DJ13" s="18">
        <v>56.51</v>
      </c>
      <c r="DL13" s="18">
        <v>2095</v>
      </c>
      <c r="DM13" s="18">
        <v>56.24</v>
      </c>
      <c r="DO13" s="6">
        <v>1090</v>
      </c>
      <c r="DP13" s="6">
        <v>52.61</v>
      </c>
      <c r="DX13" s="6">
        <v>1242</v>
      </c>
      <c r="DY13" s="6">
        <v>56.33</v>
      </c>
      <c r="EA13" s="6">
        <v>1303</v>
      </c>
      <c r="EB13" s="6">
        <v>56.35</v>
      </c>
      <c r="ED13" s="25">
        <v>1306</v>
      </c>
      <c r="EE13" s="25">
        <v>55.4</v>
      </c>
      <c r="EG13" s="6">
        <v>1014</v>
      </c>
      <c r="EH13" s="6">
        <v>49.21</v>
      </c>
      <c r="EJ13" s="25">
        <v>1277</v>
      </c>
      <c r="EK13" s="25">
        <v>51.74</v>
      </c>
      <c r="EM13" s="25">
        <v>1199</v>
      </c>
      <c r="EN13" s="25">
        <v>53.6</v>
      </c>
      <c r="EP13" s="21">
        <v>1049</v>
      </c>
      <c r="EQ13" s="25">
        <v>53.7</v>
      </c>
      <c r="ES13" s="21">
        <v>1281</v>
      </c>
      <c r="ET13" s="25">
        <v>52.744</v>
      </c>
      <c r="EU13" s="19" t="s">
        <v>65</v>
      </c>
      <c r="EV13" s="9">
        <v>1063</v>
      </c>
      <c r="EW13" s="9">
        <v>49.35</v>
      </c>
      <c r="EY13" s="25">
        <v>1177</v>
      </c>
      <c r="EZ13" s="25">
        <v>48.31</v>
      </c>
    </row>
    <row r="14" spans="2:156" x14ac:dyDescent="0.35">
      <c r="B14" s="38">
        <v>1292</v>
      </c>
      <c r="C14" s="38">
        <v>53.6</v>
      </c>
      <c r="E14" s="6">
        <v>981</v>
      </c>
      <c r="F14" s="6">
        <v>50.91</v>
      </c>
      <c r="G14" s="11"/>
      <c r="H14" s="6">
        <v>1214</v>
      </c>
      <c r="I14" s="6">
        <v>50.87</v>
      </c>
      <c r="J14" s="17"/>
      <c r="K14" s="15">
        <v>1095</v>
      </c>
      <c r="L14" s="15">
        <v>52.97</v>
      </c>
      <c r="N14" s="6">
        <v>1023</v>
      </c>
      <c r="O14" s="6">
        <v>57.5</v>
      </c>
      <c r="Q14" s="6">
        <v>812</v>
      </c>
      <c r="R14" s="6">
        <v>56.42</v>
      </c>
      <c r="T14" s="6">
        <v>1263</v>
      </c>
      <c r="U14" s="6">
        <v>55.07</v>
      </c>
      <c r="W14" s="6">
        <v>1467</v>
      </c>
      <c r="X14" s="6">
        <v>56.51</v>
      </c>
      <c r="Z14" s="6">
        <v>1297</v>
      </c>
      <c r="AA14" s="6">
        <v>57.82</v>
      </c>
      <c r="AC14" s="6">
        <v>902</v>
      </c>
      <c r="AD14" s="6">
        <v>56.49</v>
      </c>
      <c r="AF14" s="6">
        <v>1021</v>
      </c>
      <c r="AG14" s="6">
        <v>59.12</v>
      </c>
      <c r="AI14" s="18">
        <v>1031</v>
      </c>
      <c r="AJ14" s="18">
        <v>57.55</v>
      </c>
      <c r="AL14" s="6">
        <v>1013</v>
      </c>
      <c r="AM14" s="6">
        <v>58.56</v>
      </c>
      <c r="AO14" s="6">
        <v>1235</v>
      </c>
      <c r="AP14" s="6">
        <v>57.01</v>
      </c>
      <c r="AR14" s="6">
        <v>1000</v>
      </c>
      <c r="AS14" s="6">
        <v>57.19</v>
      </c>
      <c r="AU14" s="6">
        <v>1564</v>
      </c>
      <c r="AV14" s="6">
        <v>57.62</v>
      </c>
      <c r="AX14" s="6">
        <v>1182</v>
      </c>
      <c r="AY14" s="6">
        <v>57.5</v>
      </c>
      <c r="BA14" s="6">
        <v>1255</v>
      </c>
      <c r="BB14" s="6">
        <v>56.59</v>
      </c>
      <c r="BD14" s="6">
        <v>2325</v>
      </c>
      <c r="BE14" s="6">
        <v>57.36</v>
      </c>
      <c r="BG14" s="6">
        <v>1138</v>
      </c>
      <c r="BH14" s="6">
        <v>56.05</v>
      </c>
      <c r="BJ14" s="18">
        <v>1971</v>
      </c>
      <c r="BK14" s="18">
        <v>57.61</v>
      </c>
      <c r="BM14" s="6">
        <v>860</v>
      </c>
      <c r="BN14" s="6">
        <v>58.59</v>
      </c>
      <c r="BP14" s="6">
        <v>1794</v>
      </c>
      <c r="BQ14" s="6">
        <v>57.49</v>
      </c>
      <c r="BS14" s="6">
        <v>2247</v>
      </c>
      <c r="BT14" s="6">
        <v>56.48</v>
      </c>
      <c r="BV14" s="6">
        <v>1010</v>
      </c>
      <c r="BW14" s="6">
        <v>58.46</v>
      </c>
      <c r="BY14" s="6">
        <v>1897</v>
      </c>
      <c r="BZ14" s="6">
        <v>57.5</v>
      </c>
      <c r="CB14" s="6">
        <v>1435</v>
      </c>
      <c r="CC14" s="6">
        <v>57.56</v>
      </c>
      <c r="CE14" s="6">
        <v>1560</v>
      </c>
      <c r="CF14" s="6">
        <v>55.06</v>
      </c>
      <c r="CH14" s="6">
        <v>2570</v>
      </c>
      <c r="CI14" s="6">
        <v>56.13</v>
      </c>
      <c r="CK14" s="21">
        <v>2263</v>
      </c>
      <c r="CL14" s="25">
        <v>54.92</v>
      </c>
      <c r="CM14" s="19" t="s">
        <v>54</v>
      </c>
      <c r="CN14" s="9">
        <v>2183</v>
      </c>
      <c r="CO14" s="9">
        <v>57.17</v>
      </c>
      <c r="CQ14" s="6">
        <v>1747</v>
      </c>
      <c r="CR14" s="6">
        <v>57.92</v>
      </c>
      <c r="CT14" s="6">
        <v>2536</v>
      </c>
      <c r="CU14" s="6">
        <v>57.2</v>
      </c>
      <c r="CW14" s="21">
        <v>1238</v>
      </c>
      <c r="CX14" s="21">
        <v>55.63</v>
      </c>
      <c r="CZ14" s="25">
        <v>1166</v>
      </c>
      <c r="DA14" s="25">
        <v>54.41</v>
      </c>
      <c r="DI14" s="18">
        <v>1793</v>
      </c>
      <c r="DJ14" s="18">
        <v>56.98</v>
      </c>
      <c r="DL14" s="18">
        <v>2184</v>
      </c>
      <c r="DM14" s="18">
        <v>56.33</v>
      </c>
      <c r="DN14" s="13" t="s">
        <v>62</v>
      </c>
      <c r="DO14" s="15">
        <v>1179</v>
      </c>
      <c r="DP14" s="15">
        <v>53</v>
      </c>
      <c r="DX14" s="6">
        <v>1316</v>
      </c>
      <c r="DY14" s="6">
        <v>56.51</v>
      </c>
      <c r="EA14" s="6">
        <v>1373</v>
      </c>
      <c r="EB14" s="6">
        <v>56.36</v>
      </c>
      <c r="ED14" s="25">
        <v>1405</v>
      </c>
      <c r="EE14" s="25">
        <v>55.55</v>
      </c>
      <c r="EG14" s="6">
        <v>1099</v>
      </c>
      <c r="EH14" s="6">
        <v>51.56</v>
      </c>
      <c r="EI14" s="29" t="s">
        <v>64</v>
      </c>
      <c r="EJ14" s="30">
        <v>1479</v>
      </c>
      <c r="EK14" s="30">
        <v>49.87</v>
      </c>
      <c r="EM14" s="25">
        <v>1285</v>
      </c>
      <c r="EN14" s="25">
        <v>54.11</v>
      </c>
      <c r="EP14" s="21">
        <v>1217</v>
      </c>
      <c r="EQ14" s="25">
        <v>53.5</v>
      </c>
      <c r="ES14" s="21">
        <v>1512</v>
      </c>
      <c r="ET14" s="25">
        <v>52.74</v>
      </c>
      <c r="EV14" s="6">
        <f>EM7-$EM$6+$EV$13</f>
        <v>1161</v>
      </c>
      <c r="EW14" s="25">
        <v>50.72</v>
      </c>
      <c r="EY14" s="25">
        <v>1234</v>
      </c>
      <c r="EZ14" s="25">
        <v>46.52</v>
      </c>
    </row>
    <row r="15" spans="2:156" x14ac:dyDescent="0.35">
      <c r="B15" s="38">
        <v>1411</v>
      </c>
      <c r="C15" s="38">
        <v>54.64</v>
      </c>
      <c r="E15" s="6">
        <v>1077</v>
      </c>
      <c r="F15" s="6">
        <v>51.98</v>
      </c>
      <c r="G15" s="11"/>
      <c r="H15" s="6">
        <v>1316</v>
      </c>
      <c r="I15" s="6">
        <v>50.62</v>
      </c>
      <c r="J15" s="17"/>
      <c r="K15" s="6">
        <v>1172</v>
      </c>
      <c r="L15" s="6">
        <v>52.76</v>
      </c>
      <c r="N15" s="6">
        <v>1155</v>
      </c>
      <c r="O15" s="6">
        <v>57.23</v>
      </c>
      <c r="Q15" s="6">
        <v>1188</v>
      </c>
      <c r="R15" s="6">
        <v>55.59</v>
      </c>
      <c r="T15" s="6">
        <v>1458</v>
      </c>
      <c r="U15" s="6">
        <v>55.28</v>
      </c>
      <c r="W15" s="6">
        <v>1553</v>
      </c>
      <c r="X15" s="6">
        <v>56.88</v>
      </c>
      <c r="Z15" s="6">
        <v>1514</v>
      </c>
      <c r="AA15" s="6">
        <v>58.96</v>
      </c>
      <c r="AC15" s="6">
        <v>1000</v>
      </c>
      <c r="AD15" s="6">
        <v>55.91</v>
      </c>
      <c r="AF15" s="6">
        <v>1114</v>
      </c>
      <c r="AG15" s="6">
        <v>60.95</v>
      </c>
      <c r="AI15" s="18">
        <v>1333</v>
      </c>
      <c r="AJ15" s="18">
        <v>57.56</v>
      </c>
      <c r="AL15" s="6">
        <v>1031</v>
      </c>
      <c r="AM15" s="6">
        <v>57.51</v>
      </c>
      <c r="AO15" s="6">
        <v>1423</v>
      </c>
      <c r="AP15" s="6">
        <v>57.47</v>
      </c>
      <c r="AR15" s="6">
        <v>1076</v>
      </c>
      <c r="AS15" s="6">
        <v>57.28</v>
      </c>
      <c r="AU15" s="6">
        <v>1753</v>
      </c>
      <c r="AV15" s="6">
        <v>57.57</v>
      </c>
      <c r="AX15" s="6">
        <v>1278</v>
      </c>
      <c r="AY15" s="6">
        <v>57.5</v>
      </c>
      <c r="BA15" s="6">
        <v>1327</v>
      </c>
      <c r="BB15" s="6">
        <v>57.5</v>
      </c>
      <c r="BD15" s="6">
        <v>2463</v>
      </c>
      <c r="BE15" s="6">
        <v>57.31</v>
      </c>
      <c r="BG15" s="6">
        <v>1411</v>
      </c>
      <c r="BH15" s="6">
        <v>55.97</v>
      </c>
      <c r="BJ15" s="18">
        <v>2190</v>
      </c>
      <c r="BK15" s="18">
        <v>57.55</v>
      </c>
      <c r="BM15" s="6">
        <v>957</v>
      </c>
      <c r="BN15" s="6">
        <v>58.61</v>
      </c>
      <c r="BP15" s="6">
        <v>2115</v>
      </c>
      <c r="BQ15" s="6">
        <v>57.43</v>
      </c>
      <c r="BS15" s="6">
        <v>2655</v>
      </c>
      <c r="BT15" s="6">
        <v>56.36</v>
      </c>
      <c r="BV15" s="6">
        <v>1123</v>
      </c>
      <c r="BW15" s="6">
        <v>58.93</v>
      </c>
      <c r="BY15" s="6">
        <v>2051</v>
      </c>
      <c r="BZ15" s="6">
        <v>57.5</v>
      </c>
      <c r="CB15" s="6">
        <v>1568</v>
      </c>
      <c r="CC15" s="6">
        <v>57.52</v>
      </c>
      <c r="CE15" s="6">
        <v>1795</v>
      </c>
      <c r="CF15" s="6">
        <v>55.5</v>
      </c>
      <c r="CH15" s="6">
        <v>2824</v>
      </c>
      <c r="CI15" s="6">
        <v>56.2</v>
      </c>
      <c r="CK15" s="21">
        <v>2352</v>
      </c>
      <c r="CL15" s="25">
        <v>54.67</v>
      </c>
      <c r="CQ15" s="6">
        <v>2059</v>
      </c>
      <c r="CR15" s="6">
        <v>56.67</v>
      </c>
      <c r="CS15" s="19" t="s">
        <v>54</v>
      </c>
      <c r="CT15" s="9">
        <v>2594</v>
      </c>
      <c r="CU15" s="9">
        <v>57.64</v>
      </c>
      <c r="CW15" s="21">
        <v>1311</v>
      </c>
      <c r="CX15" s="21">
        <v>55.84</v>
      </c>
      <c r="CZ15" s="25">
        <v>1325</v>
      </c>
      <c r="DA15" s="25">
        <v>54.11</v>
      </c>
      <c r="DI15" s="18">
        <v>2059</v>
      </c>
      <c r="DJ15" s="18">
        <v>57.1</v>
      </c>
      <c r="DL15" s="18">
        <v>2444</v>
      </c>
      <c r="DM15" s="18">
        <v>56.49</v>
      </c>
      <c r="DO15" s="6">
        <v>1274</v>
      </c>
      <c r="DP15" s="6">
        <v>53.66</v>
      </c>
      <c r="DX15" s="6">
        <v>1490</v>
      </c>
      <c r="DY15" s="6">
        <v>56.98</v>
      </c>
      <c r="EA15" s="6">
        <v>1462</v>
      </c>
      <c r="EB15" s="6">
        <v>56.39</v>
      </c>
      <c r="ED15" s="25">
        <v>1472</v>
      </c>
      <c r="EE15" s="25">
        <v>56</v>
      </c>
      <c r="EG15" s="6">
        <v>1200</v>
      </c>
      <c r="EH15" s="6">
        <v>52.62</v>
      </c>
      <c r="EJ15" s="30">
        <v>1514</v>
      </c>
      <c r="EK15" s="30">
        <v>49.11</v>
      </c>
      <c r="EM15" s="25">
        <v>1408</v>
      </c>
      <c r="EN15" s="25">
        <v>54.69</v>
      </c>
      <c r="EP15" s="21">
        <v>1299</v>
      </c>
      <c r="EQ15" s="25">
        <v>54.25</v>
      </c>
      <c r="ES15" s="21">
        <v>1633</v>
      </c>
      <c r="ET15" s="25">
        <v>53.36</v>
      </c>
      <c r="EV15" s="6">
        <f t="shared" ref="EV15:EV38" si="0">EM8-$EM$6+$EV$13</f>
        <v>1276</v>
      </c>
      <c r="EW15" s="25">
        <v>50.9</v>
      </c>
      <c r="EY15" s="25">
        <v>1329</v>
      </c>
      <c r="EZ15" s="25">
        <v>47.78</v>
      </c>
    </row>
    <row r="16" spans="2:156" x14ac:dyDescent="0.35">
      <c r="B16" s="38">
        <v>1532</v>
      </c>
      <c r="C16" s="38">
        <v>54.69</v>
      </c>
      <c r="E16" s="6">
        <v>1144</v>
      </c>
      <c r="F16" s="6">
        <v>52.21</v>
      </c>
      <c r="G16" s="11"/>
      <c r="H16" s="6">
        <v>1422</v>
      </c>
      <c r="I16" s="6">
        <v>50.65</v>
      </c>
      <c r="J16" s="17"/>
      <c r="K16" s="6">
        <v>1272</v>
      </c>
      <c r="L16" s="6">
        <v>52.89</v>
      </c>
      <c r="N16" s="6">
        <v>1198</v>
      </c>
      <c r="O16" s="6">
        <v>56.83</v>
      </c>
      <c r="Q16" s="6">
        <v>1545</v>
      </c>
      <c r="R16" s="6">
        <v>54.73</v>
      </c>
      <c r="T16" s="6">
        <v>1586</v>
      </c>
      <c r="U16" s="6">
        <v>55.66</v>
      </c>
      <c r="W16" s="6">
        <v>1714</v>
      </c>
      <c r="X16" s="6">
        <v>56.8</v>
      </c>
      <c r="Z16" s="6">
        <v>1639</v>
      </c>
      <c r="AA16" s="6">
        <v>57.71</v>
      </c>
      <c r="AC16" s="6">
        <v>1020</v>
      </c>
      <c r="AD16" s="6">
        <v>55.99</v>
      </c>
      <c r="AF16" s="6">
        <v>1224</v>
      </c>
      <c r="AG16" s="6">
        <v>62.09</v>
      </c>
      <c r="AI16" s="18">
        <v>1463</v>
      </c>
      <c r="AJ16" s="18">
        <v>57.44</v>
      </c>
      <c r="AL16" s="6">
        <v>1248</v>
      </c>
      <c r="AM16" s="6">
        <v>56.81</v>
      </c>
      <c r="AO16" s="6">
        <v>1546</v>
      </c>
      <c r="AP16" s="6">
        <v>57.12</v>
      </c>
      <c r="AR16" s="6">
        <v>1106</v>
      </c>
      <c r="AS16" s="6">
        <v>57.36</v>
      </c>
      <c r="AU16" s="6">
        <v>1992</v>
      </c>
      <c r="AV16" s="6">
        <v>57.63</v>
      </c>
      <c r="AX16" s="6">
        <v>1646</v>
      </c>
      <c r="AY16" s="6">
        <v>57.2</v>
      </c>
      <c r="BA16" s="6">
        <v>1435</v>
      </c>
      <c r="BB16" s="6">
        <v>57.54</v>
      </c>
      <c r="BD16" s="6">
        <v>2574</v>
      </c>
      <c r="BE16" s="6">
        <v>57.29</v>
      </c>
      <c r="BG16" s="6">
        <v>1573</v>
      </c>
      <c r="BH16" s="6">
        <v>56.06</v>
      </c>
      <c r="BJ16" s="18">
        <v>2463</v>
      </c>
      <c r="BK16" s="18">
        <v>57.92</v>
      </c>
      <c r="BM16" s="6">
        <v>1057</v>
      </c>
      <c r="BN16" s="6">
        <v>56.23</v>
      </c>
      <c r="BP16" s="6">
        <v>2347</v>
      </c>
      <c r="BQ16" s="6">
        <v>58</v>
      </c>
      <c r="BS16" s="6">
        <v>2842</v>
      </c>
      <c r="BT16" s="6">
        <v>56.44</v>
      </c>
      <c r="BV16" s="6">
        <v>1239</v>
      </c>
      <c r="BW16" s="6">
        <v>58.47</v>
      </c>
      <c r="BY16" s="6">
        <v>2196</v>
      </c>
      <c r="BZ16" s="6">
        <v>57.54</v>
      </c>
      <c r="CB16" s="6">
        <v>1721</v>
      </c>
      <c r="CC16" s="6">
        <v>57.52</v>
      </c>
      <c r="CE16" s="6">
        <v>2121</v>
      </c>
      <c r="CF16" s="6">
        <v>55.89</v>
      </c>
      <c r="CH16" s="6">
        <v>3037</v>
      </c>
      <c r="CI16" s="6">
        <v>56.28</v>
      </c>
      <c r="CK16" s="21">
        <v>2464</v>
      </c>
      <c r="CL16" s="25">
        <v>54.82</v>
      </c>
      <c r="CP16" s="13" t="s">
        <v>54</v>
      </c>
      <c r="CQ16" s="15">
        <v>2141</v>
      </c>
      <c r="CR16" s="15">
        <v>57.64</v>
      </c>
      <c r="CW16" s="21">
        <v>1445</v>
      </c>
      <c r="CX16" s="21">
        <v>56.12</v>
      </c>
      <c r="CZ16" s="25">
        <v>1439</v>
      </c>
      <c r="DA16" s="25">
        <v>54</v>
      </c>
      <c r="DI16" s="18">
        <v>2293</v>
      </c>
      <c r="DJ16" s="18">
        <v>57.08</v>
      </c>
      <c r="DL16" s="18">
        <v>2745</v>
      </c>
      <c r="DM16" s="18">
        <v>57.65</v>
      </c>
      <c r="DO16" s="6">
        <v>1379</v>
      </c>
      <c r="DP16" s="6">
        <v>54.19</v>
      </c>
      <c r="DX16" s="6">
        <v>1754</v>
      </c>
      <c r="DY16" s="6">
        <v>57.1</v>
      </c>
      <c r="EA16" s="6">
        <v>1542</v>
      </c>
      <c r="EB16" s="6">
        <v>56.42</v>
      </c>
      <c r="ED16" s="25">
        <v>1574</v>
      </c>
      <c r="EE16" s="25">
        <v>56.67</v>
      </c>
      <c r="EG16" s="6">
        <v>1404</v>
      </c>
      <c r="EH16" s="6">
        <v>51.47</v>
      </c>
      <c r="EJ16" s="25">
        <v>1597</v>
      </c>
      <c r="EK16" s="25">
        <v>50.74</v>
      </c>
      <c r="EM16" s="25">
        <v>1469</v>
      </c>
      <c r="EN16" s="25">
        <v>54.93</v>
      </c>
      <c r="EP16" s="21">
        <v>1406</v>
      </c>
      <c r="EQ16" s="25">
        <v>54.49</v>
      </c>
      <c r="ES16" s="21">
        <v>1834</v>
      </c>
      <c r="ET16" s="25">
        <v>53.49</v>
      </c>
      <c r="EV16" s="6">
        <f t="shared" si="0"/>
        <v>1363</v>
      </c>
      <c r="EW16" s="25">
        <v>50.9</v>
      </c>
      <c r="EY16" s="25">
        <v>1432</v>
      </c>
      <c r="EZ16" s="25">
        <v>45.92</v>
      </c>
    </row>
    <row r="17" spans="2:156" x14ac:dyDescent="0.35">
      <c r="B17" s="38">
        <v>1639</v>
      </c>
      <c r="C17" s="38">
        <v>54.49</v>
      </c>
      <c r="E17" s="6">
        <v>1413</v>
      </c>
      <c r="F17" s="6">
        <v>55.33</v>
      </c>
      <c r="G17" s="11"/>
      <c r="H17" s="6">
        <v>1522</v>
      </c>
      <c r="I17" s="6">
        <v>50.65</v>
      </c>
      <c r="J17" s="17"/>
      <c r="K17" s="6">
        <v>1350</v>
      </c>
      <c r="L17" s="6">
        <v>52.78</v>
      </c>
      <c r="N17" s="6">
        <v>1363</v>
      </c>
      <c r="O17" s="6">
        <v>57.46</v>
      </c>
      <c r="Q17" s="6">
        <v>1746</v>
      </c>
      <c r="R17" s="6">
        <v>54.83</v>
      </c>
      <c r="T17" s="6">
        <v>1782</v>
      </c>
      <c r="U17" s="6">
        <v>56.31</v>
      </c>
      <c r="W17" s="6">
        <v>1931</v>
      </c>
      <c r="X17" s="6">
        <v>57.71</v>
      </c>
      <c r="Z17" s="6">
        <v>1784</v>
      </c>
      <c r="AA17" s="6">
        <v>57.69</v>
      </c>
      <c r="AC17" s="6">
        <v>1060</v>
      </c>
      <c r="AD17" s="6">
        <v>56.04</v>
      </c>
      <c r="AF17" s="6">
        <v>1333</v>
      </c>
      <c r="AG17" s="6">
        <v>58.61</v>
      </c>
      <c r="AI17" s="18">
        <v>1606</v>
      </c>
      <c r="AJ17" s="18">
        <v>57.48</v>
      </c>
      <c r="AL17" s="6">
        <v>1357</v>
      </c>
      <c r="AM17" s="6">
        <v>57.56</v>
      </c>
      <c r="AO17" s="6">
        <v>1791</v>
      </c>
      <c r="AP17" s="6">
        <v>57.2</v>
      </c>
      <c r="AR17" s="6">
        <v>1199</v>
      </c>
      <c r="AS17" s="6">
        <v>57.98</v>
      </c>
      <c r="AU17" s="6">
        <v>2190</v>
      </c>
      <c r="AV17" s="6">
        <v>57.55</v>
      </c>
      <c r="AX17" s="6">
        <v>1695</v>
      </c>
      <c r="AY17" s="6">
        <v>57.19</v>
      </c>
      <c r="BA17" s="6">
        <v>1677</v>
      </c>
      <c r="BB17" s="6">
        <v>57.38</v>
      </c>
      <c r="BD17" s="6">
        <v>2708</v>
      </c>
      <c r="BE17" s="6">
        <v>57.33</v>
      </c>
      <c r="BG17" s="6">
        <v>1827</v>
      </c>
      <c r="BH17" s="6">
        <v>56.74</v>
      </c>
      <c r="BJ17" s="18">
        <v>2649</v>
      </c>
      <c r="BK17" s="18">
        <v>57.54</v>
      </c>
      <c r="BM17" s="6">
        <v>1064</v>
      </c>
      <c r="BN17" s="6">
        <v>57.86</v>
      </c>
      <c r="BP17" s="6">
        <v>2688</v>
      </c>
      <c r="BQ17" s="6">
        <v>57.56</v>
      </c>
      <c r="BS17" s="6">
        <v>3050</v>
      </c>
      <c r="BT17" s="6">
        <v>56.6</v>
      </c>
      <c r="BV17" s="6">
        <v>1444</v>
      </c>
      <c r="BW17" s="6">
        <v>58.47</v>
      </c>
      <c r="BY17" s="6">
        <v>2596</v>
      </c>
      <c r="BZ17" s="6">
        <v>57.92</v>
      </c>
      <c r="CB17" s="6">
        <v>1925</v>
      </c>
      <c r="CC17" s="6">
        <v>57.71</v>
      </c>
      <c r="CE17" s="6">
        <v>2299</v>
      </c>
      <c r="CF17" s="6">
        <v>56.13</v>
      </c>
      <c r="CH17" s="6">
        <v>3433</v>
      </c>
      <c r="CI17" s="6">
        <v>56.93</v>
      </c>
      <c r="CK17" s="21">
        <v>2595</v>
      </c>
      <c r="CL17" s="25">
        <v>55.06</v>
      </c>
      <c r="CW17" s="21">
        <v>1834</v>
      </c>
      <c r="CX17" s="21">
        <v>55.94</v>
      </c>
      <c r="CZ17" s="25">
        <v>1525</v>
      </c>
      <c r="DA17" s="25">
        <v>54.24</v>
      </c>
      <c r="DI17" s="18">
        <v>2439</v>
      </c>
      <c r="DJ17" s="18">
        <v>57.2</v>
      </c>
      <c r="DL17" s="18">
        <v>2925</v>
      </c>
      <c r="DM17" s="18">
        <v>57.08</v>
      </c>
      <c r="DO17" s="6">
        <v>1489</v>
      </c>
      <c r="DP17" s="6">
        <v>54.11</v>
      </c>
      <c r="DX17" s="6">
        <v>2059</v>
      </c>
      <c r="DY17" s="6">
        <v>57.2</v>
      </c>
      <c r="EA17" s="6">
        <v>1882</v>
      </c>
      <c r="EB17" s="6">
        <v>56.28</v>
      </c>
      <c r="ED17" s="25">
        <v>1622</v>
      </c>
      <c r="EE17" s="25">
        <v>56.39</v>
      </c>
      <c r="EG17" s="6">
        <v>1581</v>
      </c>
      <c r="EH17" s="6">
        <v>51.48</v>
      </c>
      <c r="EJ17" s="25">
        <v>1714</v>
      </c>
      <c r="EK17" s="25">
        <v>52.05</v>
      </c>
      <c r="EM17" s="25">
        <v>1563</v>
      </c>
      <c r="EN17" s="25">
        <v>55.15</v>
      </c>
      <c r="EP17" s="21">
        <v>1509</v>
      </c>
      <c r="EQ17" s="25">
        <v>54.58</v>
      </c>
      <c r="ES17" s="21">
        <v>1891</v>
      </c>
      <c r="ET17" s="25">
        <v>53.73</v>
      </c>
      <c r="EV17" s="6">
        <f t="shared" si="0"/>
        <v>1478</v>
      </c>
      <c r="EW17" s="25">
        <v>49.97</v>
      </c>
      <c r="EY17" s="25">
        <v>1591</v>
      </c>
      <c r="EZ17" s="25">
        <v>49.76</v>
      </c>
    </row>
    <row r="18" spans="2:156" x14ac:dyDescent="0.35">
      <c r="B18" s="38">
        <v>1736</v>
      </c>
      <c r="C18" s="38">
        <v>54.62</v>
      </c>
      <c r="E18" s="6">
        <v>1511</v>
      </c>
      <c r="F18" s="6">
        <v>53.7</v>
      </c>
      <c r="G18" s="11"/>
      <c r="H18" s="6">
        <v>1616</v>
      </c>
      <c r="I18" s="6">
        <v>50.69</v>
      </c>
      <c r="J18" s="17"/>
      <c r="K18" s="6">
        <v>1477</v>
      </c>
      <c r="L18" s="6">
        <v>53</v>
      </c>
      <c r="N18" s="6">
        <v>1453</v>
      </c>
      <c r="O18" s="6">
        <v>57.38</v>
      </c>
      <c r="Q18" s="6">
        <v>1972</v>
      </c>
      <c r="R18" s="6">
        <v>55.76</v>
      </c>
      <c r="T18" s="6">
        <v>2210</v>
      </c>
      <c r="U18" s="6">
        <v>57.82</v>
      </c>
      <c r="W18" s="6">
        <v>2024</v>
      </c>
      <c r="X18" s="6">
        <v>57.65</v>
      </c>
      <c r="Z18" s="6">
        <v>1981</v>
      </c>
      <c r="AA18" s="6">
        <v>57.74</v>
      </c>
      <c r="AC18" s="6">
        <v>1149</v>
      </c>
      <c r="AD18" s="6">
        <v>55.24</v>
      </c>
      <c r="AF18" s="6">
        <v>1515</v>
      </c>
      <c r="AG18" s="6">
        <v>58.42</v>
      </c>
      <c r="AI18" s="18">
        <v>1767</v>
      </c>
      <c r="AJ18" s="18">
        <v>57.6</v>
      </c>
      <c r="AL18" s="6">
        <v>1498</v>
      </c>
      <c r="AM18" s="6">
        <v>57.44</v>
      </c>
      <c r="AO18" s="6">
        <v>1971</v>
      </c>
      <c r="AP18" s="6">
        <v>57.39</v>
      </c>
      <c r="AR18" s="6">
        <v>1303</v>
      </c>
      <c r="AS18" s="6">
        <v>57.21</v>
      </c>
      <c r="AU18" s="6">
        <v>2454</v>
      </c>
      <c r="AV18" s="6">
        <v>58.6</v>
      </c>
      <c r="AX18" s="6">
        <v>1729</v>
      </c>
      <c r="AY18" s="6">
        <v>57.32</v>
      </c>
      <c r="BA18" s="6">
        <v>1766</v>
      </c>
      <c r="BB18" s="6">
        <v>57.33</v>
      </c>
      <c r="BD18" s="6">
        <v>2898</v>
      </c>
      <c r="BE18" s="6">
        <v>57.6</v>
      </c>
      <c r="BG18" s="6">
        <v>2064</v>
      </c>
      <c r="BH18" s="6">
        <v>56.49</v>
      </c>
      <c r="BJ18" s="18">
        <v>2849</v>
      </c>
      <c r="BK18" s="18">
        <v>57.54</v>
      </c>
      <c r="BM18" s="6">
        <v>1155</v>
      </c>
      <c r="BN18" s="6">
        <v>59.12</v>
      </c>
      <c r="BP18" s="6">
        <v>2934</v>
      </c>
      <c r="BQ18" s="6">
        <v>57.5</v>
      </c>
      <c r="BS18" s="6">
        <v>3163</v>
      </c>
      <c r="BT18" s="6">
        <v>56.59</v>
      </c>
      <c r="BV18" s="6">
        <v>1651</v>
      </c>
      <c r="BW18" s="6">
        <v>57.08</v>
      </c>
      <c r="BY18" s="6">
        <v>2664</v>
      </c>
      <c r="BZ18" s="6">
        <v>58.04</v>
      </c>
      <c r="CB18" s="6">
        <v>2332</v>
      </c>
      <c r="CC18" s="6">
        <v>57.92</v>
      </c>
      <c r="CE18" s="6">
        <v>2887</v>
      </c>
      <c r="CF18" s="6">
        <v>56.93</v>
      </c>
      <c r="CH18" s="6">
        <v>3556</v>
      </c>
      <c r="CI18" s="6">
        <v>56.79</v>
      </c>
      <c r="CK18" s="21">
        <v>2718</v>
      </c>
      <c r="CL18" s="25">
        <v>55.01</v>
      </c>
      <c r="CW18" s="21">
        <v>2040</v>
      </c>
      <c r="CX18" s="21">
        <v>56.83</v>
      </c>
      <c r="CZ18" s="25">
        <v>1626</v>
      </c>
      <c r="DA18" s="25">
        <v>54.79</v>
      </c>
      <c r="DH18" s="13" t="s">
        <v>54</v>
      </c>
      <c r="DI18" s="20">
        <v>2495</v>
      </c>
      <c r="DJ18" s="20">
        <v>57.64</v>
      </c>
      <c r="DL18" s="18">
        <v>3056</v>
      </c>
      <c r="DM18" s="18">
        <v>56.67</v>
      </c>
      <c r="DO18" s="6">
        <v>1579</v>
      </c>
      <c r="DP18" s="6">
        <v>53.3</v>
      </c>
      <c r="DX18" s="6">
        <v>2133</v>
      </c>
      <c r="DY18" s="6">
        <v>56.67</v>
      </c>
      <c r="EA18" s="6">
        <v>2007</v>
      </c>
      <c r="EB18" s="6">
        <v>56.27</v>
      </c>
      <c r="ED18" s="25">
        <v>1726</v>
      </c>
      <c r="EE18" s="25">
        <v>56.36</v>
      </c>
      <c r="EG18" s="6">
        <v>1720</v>
      </c>
      <c r="EH18" s="6">
        <v>53.07</v>
      </c>
      <c r="EJ18" s="25">
        <v>1809</v>
      </c>
      <c r="EK18" s="25">
        <v>52.96</v>
      </c>
      <c r="EM18" s="25">
        <v>1652</v>
      </c>
      <c r="EN18" s="25">
        <v>55.18</v>
      </c>
      <c r="EP18" s="21">
        <v>1615</v>
      </c>
      <c r="EQ18" s="25">
        <v>54.93</v>
      </c>
      <c r="ES18" s="21">
        <v>1927</v>
      </c>
      <c r="ET18" s="25">
        <v>53.2</v>
      </c>
      <c r="EV18" s="6">
        <f t="shared" si="0"/>
        <v>1600</v>
      </c>
      <c r="EW18" s="25">
        <v>51.24</v>
      </c>
      <c r="EX18" s="13" t="s">
        <v>65</v>
      </c>
      <c r="EY18" s="15">
        <v>1636</v>
      </c>
      <c r="EZ18" s="15">
        <v>49.35</v>
      </c>
    </row>
    <row r="19" spans="2:156" x14ac:dyDescent="0.35">
      <c r="B19" s="38">
        <v>1892</v>
      </c>
      <c r="C19" s="38">
        <v>54.71</v>
      </c>
      <c r="E19" s="6">
        <v>1611</v>
      </c>
      <c r="F19" s="6">
        <v>53.98</v>
      </c>
      <c r="G19" s="11"/>
      <c r="H19" s="6">
        <v>1757</v>
      </c>
      <c r="I19" s="6">
        <v>50.96</v>
      </c>
      <c r="J19" s="17"/>
      <c r="K19" s="6">
        <v>1533</v>
      </c>
      <c r="L19" s="6">
        <v>53.62</v>
      </c>
      <c r="N19" s="6">
        <v>1555</v>
      </c>
      <c r="O19" s="6">
        <v>56.83</v>
      </c>
      <c r="Q19" s="6">
        <v>2155</v>
      </c>
      <c r="R19" s="6">
        <v>55.99</v>
      </c>
      <c r="T19" s="6">
        <v>2529</v>
      </c>
      <c r="U19" s="6">
        <v>57.62</v>
      </c>
      <c r="W19" s="6">
        <v>2212</v>
      </c>
      <c r="X19" s="6">
        <v>57.71</v>
      </c>
      <c r="Z19" s="6">
        <v>2065</v>
      </c>
      <c r="AA19" s="6">
        <v>58.69</v>
      </c>
      <c r="AC19" s="6">
        <v>1182</v>
      </c>
      <c r="AD19" s="6">
        <v>54.74</v>
      </c>
      <c r="AF19" s="6">
        <v>1684</v>
      </c>
      <c r="AG19" s="6">
        <v>58.05</v>
      </c>
      <c r="AI19" s="18">
        <v>1906</v>
      </c>
      <c r="AJ19" s="18">
        <v>57.5</v>
      </c>
      <c r="AL19" s="6">
        <v>1635</v>
      </c>
      <c r="AM19" s="6">
        <v>57.48</v>
      </c>
      <c r="AO19" s="6">
        <v>2181</v>
      </c>
      <c r="AP19" s="6">
        <v>57.26</v>
      </c>
      <c r="AR19" s="6">
        <v>1395</v>
      </c>
      <c r="AS19" s="6">
        <v>57.22</v>
      </c>
      <c r="AU19" s="6">
        <v>2582</v>
      </c>
      <c r="AV19" s="6">
        <v>58.01</v>
      </c>
      <c r="AX19" s="6">
        <v>1792</v>
      </c>
      <c r="AY19" s="6">
        <v>57.89</v>
      </c>
      <c r="BA19" s="6">
        <v>1953</v>
      </c>
      <c r="BB19" s="6">
        <v>57.6</v>
      </c>
      <c r="BD19" s="6">
        <v>2990</v>
      </c>
      <c r="BE19" s="6">
        <v>57.65</v>
      </c>
      <c r="BG19" s="6">
        <v>2302</v>
      </c>
      <c r="BH19" s="6">
        <v>56.51</v>
      </c>
      <c r="BJ19" s="18">
        <v>3129</v>
      </c>
      <c r="BK19" s="18">
        <v>57.54</v>
      </c>
      <c r="BM19" s="6">
        <v>1373</v>
      </c>
      <c r="BN19" s="6">
        <v>57.61</v>
      </c>
      <c r="BP19" s="6">
        <v>3180</v>
      </c>
      <c r="BQ19" s="6">
        <v>57.71</v>
      </c>
      <c r="BS19" s="6">
        <v>3455</v>
      </c>
      <c r="BT19" s="6">
        <v>56.6</v>
      </c>
      <c r="BV19" s="6">
        <v>1783</v>
      </c>
      <c r="BW19" s="6">
        <v>57.48</v>
      </c>
      <c r="BX19" s="13" t="s">
        <v>54</v>
      </c>
      <c r="BY19" s="15">
        <v>3147</v>
      </c>
      <c r="BZ19" s="15">
        <v>57.17</v>
      </c>
      <c r="CB19" s="6">
        <v>2639</v>
      </c>
      <c r="CC19" s="6">
        <v>56.67</v>
      </c>
      <c r="CE19" s="6">
        <v>3209</v>
      </c>
      <c r="CF19" s="6">
        <v>56.82</v>
      </c>
      <c r="CH19" s="6">
        <v>4038</v>
      </c>
      <c r="CI19" s="6">
        <v>56.33</v>
      </c>
      <c r="CK19" s="21">
        <v>2838</v>
      </c>
      <c r="CL19" s="25">
        <v>55.5</v>
      </c>
      <c r="CW19" s="21">
        <v>2234</v>
      </c>
      <c r="CX19" s="21">
        <v>56.55</v>
      </c>
      <c r="CZ19" s="25">
        <v>1732</v>
      </c>
      <c r="DA19" s="25">
        <v>55.43</v>
      </c>
      <c r="DK19" s="19" t="s">
        <v>54</v>
      </c>
      <c r="DL19" s="23">
        <v>3135</v>
      </c>
      <c r="DM19" s="23">
        <v>57.64</v>
      </c>
      <c r="DO19" s="6">
        <v>1762</v>
      </c>
      <c r="DP19" s="6">
        <v>48.01</v>
      </c>
      <c r="DW19" s="19" t="s">
        <v>54</v>
      </c>
      <c r="DX19" s="9">
        <v>2284</v>
      </c>
      <c r="DY19" s="9">
        <v>57.17</v>
      </c>
      <c r="EA19" s="6">
        <v>2351</v>
      </c>
      <c r="EB19" s="6">
        <v>57.1</v>
      </c>
      <c r="ED19" s="25">
        <v>1825</v>
      </c>
      <c r="EE19" s="25">
        <v>56.24</v>
      </c>
      <c r="EG19" s="6">
        <v>1924</v>
      </c>
      <c r="EH19" s="6">
        <v>53.78</v>
      </c>
      <c r="EJ19" s="25">
        <v>1936</v>
      </c>
      <c r="EK19" s="25">
        <v>52.7</v>
      </c>
      <c r="EM19" s="25">
        <v>1737</v>
      </c>
      <c r="EN19" s="25">
        <v>55.37</v>
      </c>
      <c r="EP19" s="21">
        <v>1706</v>
      </c>
      <c r="EQ19" s="25">
        <v>55.15</v>
      </c>
      <c r="ES19" s="21">
        <v>1999</v>
      </c>
      <c r="ET19" s="25">
        <v>52.07</v>
      </c>
      <c r="EV19" s="6">
        <f t="shared" si="0"/>
        <v>1697</v>
      </c>
      <c r="EW19" s="25">
        <v>52.18</v>
      </c>
      <c r="EY19" s="6">
        <f>EM7-$EM$6+$EY$18</f>
        <v>1734</v>
      </c>
      <c r="EZ19" s="25">
        <v>50.72</v>
      </c>
    </row>
    <row r="20" spans="2:156" x14ac:dyDescent="0.35">
      <c r="B20" s="38">
        <v>1985</v>
      </c>
      <c r="C20" s="38">
        <v>55.03</v>
      </c>
      <c r="E20" s="6">
        <v>1707</v>
      </c>
      <c r="F20" s="6">
        <v>53.92</v>
      </c>
      <c r="G20" s="11"/>
      <c r="H20" s="6">
        <v>1851</v>
      </c>
      <c r="I20" s="6">
        <v>50.93</v>
      </c>
      <c r="J20" s="17"/>
      <c r="K20" s="6">
        <v>1597</v>
      </c>
      <c r="L20" s="6">
        <v>53.66</v>
      </c>
      <c r="N20" s="6">
        <v>1656</v>
      </c>
      <c r="O20" s="6">
        <v>56.17</v>
      </c>
      <c r="Q20" s="6">
        <v>2316</v>
      </c>
      <c r="R20" s="6">
        <v>56.51</v>
      </c>
      <c r="T20" s="6">
        <v>2596</v>
      </c>
      <c r="U20" s="6">
        <v>57.8</v>
      </c>
      <c r="W20" s="6">
        <v>2324</v>
      </c>
      <c r="X20" s="6">
        <v>57.95</v>
      </c>
      <c r="Z20" s="6">
        <v>2088</v>
      </c>
      <c r="AA20" s="6">
        <v>58.01</v>
      </c>
      <c r="AC20" s="6">
        <v>1230</v>
      </c>
      <c r="AD20" s="6">
        <v>56.53</v>
      </c>
      <c r="AF20" s="6">
        <v>1847</v>
      </c>
      <c r="AG20" s="6">
        <v>57.92</v>
      </c>
      <c r="AI20" s="18">
        <v>2363</v>
      </c>
      <c r="AJ20" s="18">
        <v>57.2</v>
      </c>
      <c r="AL20" s="6">
        <v>1802</v>
      </c>
      <c r="AM20" s="6">
        <v>57.6</v>
      </c>
      <c r="AO20" s="6">
        <v>2440</v>
      </c>
      <c r="AP20" s="6">
        <v>57.39</v>
      </c>
      <c r="AR20" s="6">
        <v>1507</v>
      </c>
      <c r="AS20" s="6">
        <v>57.13</v>
      </c>
      <c r="AU20" s="6">
        <v>2869</v>
      </c>
      <c r="AV20" s="6">
        <v>57.54</v>
      </c>
      <c r="AX20" s="6">
        <v>1847</v>
      </c>
      <c r="AY20" s="6">
        <v>57.38</v>
      </c>
      <c r="BA20" s="6">
        <v>2048</v>
      </c>
      <c r="BB20" s="6">
        <v>57.68</v>
      </c>
      <c r="BD20" s="6">
        <v>3193</v>
      </c>
      <c r="BE20" s="6">
        <v>57.54</v>
      </c>
      <c r="BG20" s="6">
        <v>2586</v>
      </c>
      <c r="BH20" s="6">
        <v>56.11</v>
      </c>
      <c r="BJ20" s="18">
        <v>3354</v>
      </c>
      <c r="BK20" s="18">
        <v>57.51</v>
      </c>
      <c r="BM20" s="6">
        <v>1502</v>
      </c>
      <c r="BN20" s="6">
        <v>57.69</v>
      </c>
      <c r="BP20" s="6">
        <v>3614</v>
      </c>
      <c r="BQ20" s="6">
        <v>58.04</v>
      </c>
      <c r="BS20" s="6">
        <v>3845</v>
      </c>
      <c r="BT20" s="6">
        <v>56.64</v>
      </c>
      <c r="BV20" s="6">
        <v>1966</v>
      </c>
      <c r="BW20" s="6">
        <v>58.06</v>
      </c>
      <c r="CA20" s="19" t="s">
        <v>54</v>
      </c>
      <c r="CB20" s="9">
        <v>2721</v>
      </c>
      <c r="CC20" s="9">
        <v>57.64</v>
      </c>
      <c r="CE20" s="6">
        <v>3418</v>
      </c>
      <c r="CF20" s="6">
        <v>56.77</v>
      </c>
      <c r="CH20" s="6">
        <v>4283</v>
      </c>
      <c r="CI20" s="6">
        <v>56.98</v>
      </c>
      <c r="CK20" s="21">
        <v>3159</v>
      </c>
      <c r="CL20" s="25">
        <v>55.89</v>
      </c>
      <c r="CW20" s="21">
        <v>2253</v>
      </c>
      <c r="CX20" s="21">
        <v>56.69</v>
      </c>
      <c r="CZ20" s="25">
        <v>1959</v>
      </c>
      <c r="DA20" s="25">
        <v>55.61</v>
      </c>
      <c r="DO20" s="6">
        <v>1856</v>
      </c>
      <c r="DP20" s="6">
        <v>49.61</v>
      </c>
      <c r="EA20" s="6">
        <v>2585</v>
      </c>
      <c r="EB20" s="6">
        <v>57.08</v>
      </c>
      <c r="ED20" s="25">
        <v>2077</v>
      </c>
      <c r="EE20" s="25">
        <v>56.36</v>
      </c>
      <c r="EG20" s="6">
        <v>2006</v>
      </c>
      <c r="EH20" s="6">
        <v>53.65</v>
      </c>
      <c r="EJ20" s="25">
        <v>2053</v>
      </c>
      <c r="EK20" s="25">
        <v>56.64</v>
      </c>
      <c r="EM20" s="25">
        <v>1822</v>
      </c>
      <c r="EN20" s="25">
        <v>55.85</v>
      </c>
      <c r="EP20" s="21">
        <v>1797</v>
      </c>
      <c r="EQ20" s="25">
        <v>55.18</v>
      </c>
      <c r="ES20" s="21">
        <v>2033</v>
      </c>
      <c r="ET20" s="25">
        <v>51.74</v>
      </c>
      <c r="EV20" s="6">
        <f t="shared" si="0"/>
        <v>2024</v>
      </c>
      <c r="EW20" s="25">
        <v>53.6</v>
      </c>
      <c r="EY20" s="6">
        <f t="shared" ref="EY20:EY43" si="1">EM8-$EM$6+$EY$18</f>
        <v>1849</v>
      </c>
      <c r="EZ20" s="25">
        <v>50.9</v>
      </c>
    </row>
    <row r="21" spans="2:156" x14ac:dyDescent="0.35">
      <c r="B21" s="38">
        <v>2093</v>
      </c>
      <c r="C21" s="38">
        <v>54.89</v>
      </c>
      <c r="E21" s="6">
        <v>1805</v>
      </c>
      <c r="F21" s="6">
        <v>53.86</v>
      </c>
      <c r="G21" s="11"/>
      <c r="H21" s="6">
        <v>1956</v>
      </c>
      <c r="I21" s="6">
        <v>50.91</v>
      </c>
      <c r="J21" s="17"/>
      <c r="K21" s="6">
        <v>1619</v>
      </c>
      <c r="L21" s="6">
        <v>53.77</v>
      </c>
      <c r="N21" s="6">
        <v>1759</v>
      </c>
      <c r="O21" s="6">
        <v>55.36</v>
      </c>
      <c r="Q21" s="6">
        <v>2604</v>
      </c>
      <c r="R21" s="6">
        <v>57.28</v>
      </c>
      <c r="T21" s="6">
        <v>2696</v>
      </c>
      <c r="U21" s="6">
        <v>57.69</v>
      </c>
      <c r="W21" s="6">
        <v>2408</v>
      </c>
      <c r="X21" s="6">
        <v>58.56</v>
      </c>
      <c r="Z21" s="6">
        <v>2105</v>
      </c>
      <c r="AA21" s="6">
        <v>58.56</v>
      </c>
      <c r="AC21" s="6">
        <v>1346</v>
      </c>
      <c r="AD21" s="6">
        <v>57</v>
      </c>
      <c r="AF21" s="6">
        <v>2104</v>
      </c>
      <c r="AG21" s="6">
        <v>57.5</v>
      </c>
      <c r="AI21" s="18">
        <v>2549</v>
      </c>
      <c r="AJ21" s="18">
        <v>57.89</v>
      </c>
      <c r="AL21" s="6">
        <v>2031</v>
      </c>
      <c r="AM21" s="6">
        <v>57.5</v>
      </c>
      <c r="AO21" s="6">
        <v>2622</v>
      </c>
      <c r="AP21" s="6">
        <v>57.31</v>
      </c>
      <c r="AR21" s="6">
        <v>1600</v>
      </c>
      <c r="AS21" s="6">
        <v>56.81</v>
      </c>
      <c r="AU21" s="6">
        <v>3091</v>
      </c>
      <c r="AV21" s="6">
        <v>57.59</v>
      </c>
      <c r="AX21" s="6">
        <v>2050</v>
      </c>
      <c r="AY21" s="6">
        <v>57.66</v>
      </c>
      <c r="BA21" s="6">
        <v>2123</v>
      </c>
      <c r="BB21" s="6">
        <v>57.72</v>
      </c>
      <c r="BD21" s="6">
        <v>3391</v>
      </c>
      <c r="BE21" s="6">
        <v>57.5</v>
      </c>
      <c r="BG21" s="6">
        <v>2853</v>
      </c>
      <c r="BH21" s="6">
        <v>56.42</v>
      </c>
      <c r="BJ21" s="18">
        <v>3443</v>
      </c>
      <c r="BK21" s="18">
        <v>57.55</v>
      </c>
      <c r="BM21" s="6">
        <v>1702</v>
      </c>
      <c r="BN21" s="6">
        <v>57.6</v>
      </c>
      <c r="BO21" s="19" t="s">
        <v>54</v>
      </c>
      <c r="BP21" s="9">
        <v>3947</v>
      </c>
      <c r="BQ21" s="9">
        <v>57.64</v>
      </c>
      <c r="BS21" s="6">
        <v>4198</v>
      </c>
      <c r="BT21" s="6">
        <v>57.06</v>
      </c>
      <c r="BV21" s="6">
        <v>2162</v>
      </c>
      <c r="BW21" s="6">
        <v>58.47</v>
      </c>
      <c r="CE21" s="6">
        <v>3586</v>
      </c>
      <c r="CF21" s="6">
        <v>56.32</v>
      </c>
      <c r="CH21" s="6">
        <v>4470</v>
      </c>
      <c r="CI21" s="6">
        <v>57.16</v>
      </c>
      <c r="CK21" s="21">
        <v>3338</v>
      </c>
      <c r="CL21" s="25">
        <v>56.13</v>
      </c>
      <c r="CW21" s="21">
        <v>2650</v>
      </c>
      <c r="CX21" s="21">
        <v>55.91</v>
      </c>
      <c r="CZ21" s="25">
        <v>2190</v>
      </c>
      <c r="DA21" s="25">
        <v>55.63</v>
      </c>
      <c r="DO21" s="6">
        <v>1949</v>
      </c>
      <c r="DP21" s="6">
        <v>49.21</v>
      </c>
      <c r="EA21" s="6">
        <v>2733</v>
      </c>
      <c r="EB21" s="6">
        <v>56.67</v>
      </c>
      <c r="ED21" s="25">
        <v>2151</v>
      </c>
      <c r="EE21" s="25">
        <v>56.39</v>
      </c>
      <c r="EG21" s="6">
        <v>2180</v>
      </c>
      <c r="EH21" s="6">
        <v>54.18</v>
      </c>
      <c r="EJ21" s="25">
        <v>2148</v>
      </c>
      <c r="EK21" s="25">
        <v>54.71</v>
      </c>
      <c r="EM21" s="25">
        <v>1937</v>
      </c>
      <c r="EN21" s="25">
        <v>55.95</v>
      </c>
      <c r="EP21" s="21">
        <v>1880</v>
      </c>
      <c r="EQ21" s="25">
        <v>55.37</v>
      </c>
      <c r="ES21" s="21">
        <v>2122</v>
      </c>
      <c r="ET21" s="25">
        <v>51.17</v>
      </c>
      <c r="EV21" s="6">
        <f t="shared" si="0"/>
        <v>2110</v>
      </c>
      <c r="EW21" s="25">
        <v>54.11</v>
      </c>
      <c r="EY21" s="6">
        <f t="shared" si="1"/>
        <v>1936</v>
      </c>
      <c r="EZ21" s="25">
        <v>50.9</v>
      </c>
    </row>
    <row r="22" spans="2:156" x14ac:dyDescent="0.35">
      <c r="B22" s="38">
        <v>2194</v>
      </c>
      <c r="C22" s="38">
        <v>54.48</v>
      </c>
      <c r="E22" s="6">
        <v>1903</v>
      </c>
      <c r="F22" s="6">
        <v>53.92</v>
      </c>
      <c r="G22" s="11"/>
      <c r="H22" s="6">
        <v>2052</v>
      </c>
      <c r="I22" s="6">
        <v>51.98</v>
      </c>
      <c r="J22" s="17"/>
      <c r="K22" s="6">
        <v>1715</v>
      </c>
      <c r="L22" s="6">
        <v>53.52</v>
      </c>
      <c r="N22" s="6">
        <v>1835</v>
      </c>
      <c r="O22" s="6">
        <v>55.33</v>
      </c>
      <c r="Q22" s="6">
        <v>2785</v>
      </c>
      <c r="R22" s="6">
        <v>57.71</v>
      </c>
      <c r="T22" s="6">
        <v>2892</v>
      </c>
      <c r="U22" s="6">
        <v>57.74</v>
      </c>
      <c r="W22" s="6">
        <v>2592</v>
      </c>
      <c r="X22" s="6">
        <v>57.83</v>
      </c>
      <c r="Z22" s="6">
        <v>2123</v>
      </c>
      <c r="AA22" s="6">
        <v>57.51</v>
      </c>
      <c r="AC22" s="6">
        <v>1433</v>
      </c>
      <c r="AD22" s="6">
        <v>56.36</v>
      </c>
      <c r="AF22" s="6">
        <v>2305</v>
      </c>
      <c r="AG22" s="6">
        <v>57.72</v>
      </c>
      <c r="AI22" s="18">
        <v>2668</v>
      </c>
      <c r="AJ22" s="18">
        <v>57.78</v>
      </c>
      <c r="AL22" s="6">
        <v>2390</v>
      </c>
      <c r="AM22" s="6">
        <v>57.2</v>
      </c>
      <c r="AO22" s="6">
        <v>2745</v>
      </c>
      <c r="AP22" s="6">
        <v>57.5</v>
      </c>
      <c r="AR22" s="6">
        <v>1956</v>
      </c>
      <c r="AS22" s="6">
        <v>57.01</v>
      </c>
      <c r="AU22" s="6">
        <v>3289</v>
      </c>
      <c r="AV22" s="6">
        <v>57.6</v>
      </c>
      <c r="AX22" s="6">
        <v>2158</v>
      </c>
      <c r="AY22" s="6">
        <v>58.06</v>
      </c>
      <c r="BA22" s="6">
        <v>2267</v>
      </c>
      <c r="BB22" s="6">
        <v>57.59</v>
      </c>
      <c r="BD22" s="6">
        <v>3745</v>
      </c>
      <c r="BE22" s="6">
        <v>58.03</v>
      </c>
      <c r="BG22" s="6">
        <v>3111</v>
      </c>
      <c r="BH22" s="6">
        <v>56.46</v>
      </c>
      <c r="BJ22" s="18">
        <v>3744</v>
      </c>
      <c r="BK22" s="18">
        <v>57.11</v>
      </c>
      <c r="BM22" s="6">
        <v>1965</v>
      </c>
      <c r="BN22" s="6">
        <v>57.8</v>
      </c>
      <c r="BS22" s="6">
        <v>4512</v>
      </c>
      <c r="BT22" s="6">
        <v>57.71</v>
      </c>
      <c r="BV22" s="6">
        <v>2606</v>
      </c>
      <c r="BW22" s="6">
        <v>57.02</v>
      </c>
      <c r="CE22" s="6">
        <v>3763</v>
      </c>
      <c r="CF22" s="6">
        <v>56.33</v>
      </c>
      <c r="CH22" s="6">
        <v>4716</v>
      </c>
      <c r="CI22" s="6">
        <v>57.1</v>
      </c>
      <c r="CK22" s="21">
        <v>3586</v>
      </c>
      <c r="CL22" s="25">
        <v>56.2</v>
      </c>
      <c r="CW22" s="21">
        <v>2926</v>
      </c>
      <c r="CX22" s="21">
        <v>56.42</v>
      </c>
      <c r="CZ22" s="25">
        <v>2399</v>
      </c>
      <c r="DA22" s="25">
        <v>56.12</v>
      </c>
      <c r="DO22" s="6">
        <v>2034</v>
      </c>
      <c r="DP22" s="6">
        <v>51.56</v>
      </c>
      <c r="DZ22" s="13" t="s">
        <v>54</v>
      </c>
      <c r="EA22" s="15">
        <v>2902</v>
      </c>
      <c r="EB22" s="15">
        <v>57.17</v>
      </c>
      <c r="ED22" s="25">
        <v>2236</v>
      </c>
      <c r="EE22" s="25">
        <v>56.42</v>
      </c>
      <c r="EG22" s="6">
        <v>2297</v>
      </c>
      <c r="EH22" s="6">
        <v>54.18</v>
      </c>
      <c r="EJ22" s="25">
        <v>2219</v>
      </c>
      <c r="EK22" s="25">
        <v>54.96</v>
      </c>
      <c r="EM22" s="25">
        <v>2033</v>
      </c>
      <c r="EN22" s="25">
        <v>56.36</v>
      </c>
      <c r="EP22" s="21">
        <v>1971</v>
      </c>
      <c r="EQ22" s="25">
        <v>55.85</v>
      </c>
      <c r="ER22" s="33" t="s">
        <v>64</v>
      </c>
      <c r="ES22" s="32">
        <v>2234</v>
      </c>
      <c r="ET22" s="30">
        <v>49.87</v>
      </c>
      <c r="EV22" s="6">
        <f t="shared" si="0"/>
        <v>2233</v>
      </c>
      <c r="EW22" s="25">
        <v>54.69</v>
      </c>
      <c r="EY22" s="6">
        <f t="shared" si="1"/>
        <v>2051</v>
      </c>
      <c r="EZ22" s="25">
        <v>49.97</v>
      </c>
    </row>
    <row r="23" spans="2:156" x14ac:dyDescent="0.35">
      <c r="B23" s="38">
        <v>2321</v>
      </c>
      <c r="C23" s="38">
        <v>54.61</v>
      </c>
      <c r="E23" s="6">
        <v>2002</v>
      </c>
      <c r="F23" s="6">
        <v>53.99</v>
      </c>
      <c r="G23" s="11"/>
      <c r="H23" s="6">
        <v>2119</v>
      </c>
      <c r="I23" s="6">
        <v>52.21</v>
      </c>
      <c r="J23" s="17"/>
      <c r="K23" s="6">
        <v>1848</v>
      </c>
      <c r="L23" s="6">
        <v>53.59</v>
      </c>
      <c r="N23" s="6">
        <v>1939</v>
      </c>
      <c r="O23" s="6">
        <v>55.13</v>
      </c>
      <c r="Q23" s="6">
        <v>2879</v>
      </c>
      <c r="R23" s="6">
        <v>57.65</v>
      </c>
      <c r="T23" s="6">
        <v>2977</v>
      </c>
      <c r="U23" s="6">
        <v>58.69</v>
      </c>
      <c r="W23" s="6">
        <v>2764</v>
      </c>
      <c r="X23" s="6">
        <v>57.56</v>
      </c>
      <c r="Z23" s="6">
        <v>2469</v>
      </c>
      <c r="AA23" s="6">
        <v>57.56</v>
      </c>
      <c r="AC23" s="6">
        <v>1533</v>
      </c>
      <c r="AD23" s="6">
        <v>56.9</v>
      </c>
      <c r="AF23" s="6">
        <v>2495</v>
      </c>
      <c r="AG23" s="6">
        <v>57.6</v>
      </c>
      <c r="AI23" s="18">
        <v>2892</v>
      </c>
      <c r="AJ23" s="18">
        <v>57.63</v>
      </c>
      <c r="AL23" s="6">
        <v>2518</v>
      </c>
      <c r="AM23" s="6">
        <v>57.56</v>
      </c>
      <c r="AO23" s="6">
        <v>2864</v>
      </c>
      <c r="AP23" s="6">
        <v>57.2</v>
      </c>
      <c r="AR23" s="6">
        <v>2144</v>
      </c>
      <c r="AS23" s="6">
        <v>57.47</v>
      </c>
      <c r="AU23" s="6">
        <v>3456</v>
      </c>
      <c r="AV23" s="6">
        <v>57.92</v>
      </c>
      <c r="AX23" s="6">
        <v>2254</v>
      </c>
      <c r="AY23" s="6">
        <v>57.8</v>
      </c>
      <c r="BA23" s="6">
        <v>2448</v>
      </c>
      <c r="BB23" s="6">
        <v>57.5</v>
      </c>
      <c r="BD23" s="6">
        <v>4107</v>
      </c>
      <c r="BE23" s="6">
        <v>57.56</v>
      </c>
      <c r="BG23" s="6">
        <v>3321</v>
      </c>
      <c r="BH23" s="6">
        <v>56.54</v>
      </c>
      <c r="BJ23" s="18">
        <v>3929</v>
      </c>
      <c r="BK23" s="18">
        <v>56.64</v>
      </c>
      <c r="BM23" s="6">
        <v>2164</v>
      </c>
      <c r="BN23" s="6">
        <v>57.56</v>
      </c>
      <c r="BS23" s="6">
        <v>4815</v>
      </c>
      <c r="BT23" s="6">
        <v>58.03</v>
      </c>
      <c r="BV23" s="6">
        <v>2924</v>
      </c>
      <c r="BW23" s="6">
        <v>56.72</v>
      </c>
      <c r="CE23" s="6">
        <v>4165</v>
      </c>
      <c r="CF23" s="6">
        <v>57.61</v>
      </c>
      <c r="CG23" s="19" t="s">
        <v>54</v>
      </c>
      <c r="CH23" s="9">
        <v>4939</v>
      </c>
      <c r="CI23" s="9">
        <v>57.64</v>
      </c>
      <c r="CK23" s="21">
        <v>3797</v>
      </c>
      <c r="CL23" s="25">
        <v>56.28</v>
      </c>
      <c r="CW23" s="21">
        <v>3027</v>
      </c>
      <c r="CX23" s="21">
        <v>56.49</v>
      </c>
      <c r="CZ23" s="25">
        <v>2557</v>
      </c>
      <c r="DA23" s="25">
        <v>56.18</v>
      </c>
      <c r="DO23" s="6">
        <v>2135</v>
      </c>
      <c r="DP23" s="6">
        <v>52.62</v>
      </c>
      <c r="ED23" s="25">
        <v>2572</v>
      </c>
      <c r="EE23" s="25">
        <v>56.28</v>
      </c>
      <c r="EG23" s="6">
        <v>2382</v>
      </c>
      <c r="EH23" s="6">
        <v>54.95</v>
      </c>
      <c r="EJ23" s="25">
        <v>2238</v>
      </c>
      <c r="EK23" s="25">
        <v>55.25</v>
      </c>
      <c r="EM23" s="25">
        <v>2121</v>
      </c>
      <c r="EN23" s="25">
        <v>56.48</v>
      </c>
      <c r="EP23" s="21">
        <v>2086</v>
      </c>
      <c r="EQ23" s="25">
        <v>55.95</v>
      </c>
      <c r="ES23" s="32">
        <v>2268</v>
      </c>
      <c r="ET23" s="30">
        <v>49.11</v>
      </c>
      <c r="EV23" s="6">
        <f t="shared" si="0"/>
        <v>2294</v>
      </c>
      <c r="EW23" s="25">
        <v>54.93</v>
      </c>
      <c r="EY23" s="6">
        <f t="shared" si="1"/>
        <v>2173</v>
      </c>
      <c r="EZ23" s="25">
        <v>51.24</v>
      </c>
    </row>
    <row r="24" spans="2:156" x14ac:dyDescent="0.35">
      <c r="B24" s="38">
        <v>2449</v>
      </c>
      <c r="C24" s="38">
        <v>54.33</v>
      </c>
      <c r="E24" s="6">
        <v>2064</v>
      </c>
      <c r="F24" s="6">
        <v>54.01</v>
      </c>
      <c r="G24" s="11"/>
      <c r="H24" s="6">
        <v>2388</v>
      </c>
      <c r="I24" s="6">
        <v>55.33</v>
      </c>
      <c r="J24" s="17"/>
      <c r="K24" s="6">
        <v>1886</v>
      </c>
      <c r="L24" s="6">
        <v>53.95</v>
      </c>
      <c r="N24" s="6">
        <v>2080</v>
      </c>
      <c r="O24" s="6">
        <v>55.9</v>
      </c>
      <c r="Q24" s="6">
        <v>3066</v>
      </c>
      <c r="R24" s="6">
        <v>57.71</v>
      </c>
      <c r="T24" s="6">
        <v>2999</v>
      </c>
      <c r="U24" s="6">
        <v>58.01</v>
      </c>
      <c r="W24" s="6">
        <v>2952</v>
      </c>
      <c r="X24" s="6">
        <v>57.5</v>
      </c>
      <c r="Z24" s="6">
        <v>2582</v>
      </c>
      <c r="AA24" s="6">
        <v>57.44</v>
      </c>
      <c r="AC24" s="6">
        <v>1637</v>
      </c>
      <c r="AD24" s="6">
        <v>57.36</v>
      </c>
      <c r="AF24" s="6">
        <v>2676</v>
      </c>
      <c r="AG24" s="6">
        <v>57.62</v>
      </c>
      <c r="AI24" s="18">
        <v>3049</v>
      </c>
      <c r="AJ24" s="18">
        <v>57.5</v>
      </c>
      <c r="AL24" s="6">
        <v>2729</v>
      </c>
      <c r="AM24" s="6">
        <v>57.92</v>
      </c>
      <c r="AO24" s="6">
        <v>3003</v>
      </c>
      <c r="AP24" s="6">
        <v>57.36</v>
      </c>
      <c r="AR24" s="6">
        <v>2267</v>
      </c>
      <c r="AS24" s="6">
        <v>57.12</v>
      </c>
      <c r="AU24" s="6">
        <v>3552</v>
      </c>
      <c r="AV24" s="6">
        <v>57.8</v>
      </c>
      <c r="AX24" s="6">
        <v>2318</v>
      </c>
      <c r="AY24" s="6">
        <v>58.79</v>
      </c>
      <c r="BA24" s="6">
        <v>2585</v>
      </c>
      <c r="BB24" s="6">
        <v>57.47</v>
      </c>
      <c r="BD24" s="6">
        <v>4350</v>
      </c>
      <c r="BE24" s="6">
        <v>57.5</v>
      </c>
      <c r="BG24" s="6">
        <v>3499</v>
      </c>
      <c r="BH24" s="6">
        <v>56.45</v>
      </c>
      <c r="BI24" s="19" t="s">
        <v>54</v>
      </c>
      <c r="BJ24" s="23">
        <v>4094</v>
      </c>
      <c r="BK24" s="23">
        <v>57.64</v>
      </c>
      <c r="BM24" s="6">
        <v>2366</v>
      </c>
      <c r="BN24" s="6">
        <v>57.53</v>
      </c>
      <c r="BS24" s="6">
        <v>4921</v>
      </c>
      <c r="BT24" s="6">
        <v>57.1</v>
      </c>
      <c r="BV24" s="6">
        <v>3430</v>
      </c>
      <c r="BW24" s="6">
        <v>56.5</v>
      </c>
      <c r="CE24" s="6">
        <v>4503</v>
      </c>
      <c r="CF24" s="6">
        <v>57.08</v>
      </c>
      <c r="CH24" s="22"/>
      <c r="CI24" s="22"/>
      <c r="CK24" s="21">
        <v>4018</v>
      </c>
      <c r="CL24" s="25">
        <v>56.8</v>
      </c>
      <c r="CW24" s="21">
        <v>3606</v>
      </c>
      <c r="CX24" s="21">
        <v>56.56</v>
      </c>
      <c r="CZ24" s="25">
        <v>2789</v>
      </c>
      <c r="DA24" s="25">
        <v>55.94</v>
      </c>
      <c r="DO24" s="6">
        <v>2339</v>
      </c>
      <c r="DP24" s="6">
        <v>51.47</v>
      </c>
      <c r="ED24" s="25">
        <v>2803</v>
      </c>
      <c r="EE24" s="25">
        <v>56.49</v>
      </c>
      <c r="EG24" s="6">
        <v>2512</v>
      </c>
      <c r="EH24" s="6">
        <v>55.4</v>
      </c>
      <c r="EJ24" s="25">
        <v>2325</v>
      </c>
      <c r="EK24" s="25">
        <v>55.42</v>
      </c>
      <c r="EM24" s="25">
        <v>2295</v>
      </c>
      <c r="EN24" s="25">
        <v>56.35</v>
      </c>
      <c r="EP24" s="21">
        <v>2255</v>
      </c>
      <c r="EQ24" s="25">
        <v>56.48</v>
      </c>
      <c r="ES24" s="21">
        <v>2350</v>
      </c>
      <c r="ET24" s="25">
        <v>50.74</v>
      </c>
      <c r="EV24" s="6">
        <f t="shared" si="0"/>
        <v>2388</v>
      </c>
      <c r="EW24" s="25">
        <v>55.15</v>
      </c>
      <c r="EY24" s="6">
        <f t="shared" si="1"/>
        <v>2270</v>
      </c>
      <c r="EZ24" s="25">
        <v>52.18</v>
      </c>
    </row>
    <row r="25" spans="2:156" x14ac:dyDescent="0.35">
      <c r="B25" s="38">
        <v>2568</v>
      </c>
      <c r="C25" s="38">
        <v>54.21</v>
      </c>
      <c r="E25" s="6">
        <v>2159</v>
      </c>
      <c r="F25" s="6">
        <v>53.63</v>
      </c>
      <c r="G25" s="11"/>
      <c r="H25" s="6">
        <v>2486</v>
      </c>
      <c r="I25" s="6">
        <v>53.7</v>
      </c>
      <c r="J25" s="16" t="s">
        <v>59</v>
      </c>
      <c r="K25" s="15">
        <v>1897</v>
      </c>
      <c r="L25" s="15">
        <v>53.71</v>
      </c>
      <c r="N25" s="6">
        <v>2171</v>
      </c>
      <c r="O25" s="6">
        <v>57.13</v>
      </c>
      <c r="Q25" s="6">
        <v>3178</v>
      </c>
      <c r="R25" s="6">
        <v>57.95</v>
      </c>
      <c r="T25" s="6">
        <v>3017</v>
      </c>
      <c r="U25" s="6">
        <v>58.56</v>
      </c>
      <c r="W25" s="6">
        <v>3130</v>
      </c>
      <c r="X25" s="6">
        <v>57.5</v>
      </c>
      <c r="Z25" s="6">
        <v>2724</v>
      </c>
      <c r="AA25" s="6">
        <v>57.48</v>
      </c>
      <c r="AC25" s="6">
        <v>1737</v>
      </c>
      <c r="AD25" s="6">
        <v>59.34</v>
      </c>
      <c r="AF25" s="6">
        <v>2866</v>
      </c>
      <c r="AG25" s="6">
        <v>57.57</v>
      </c>
      <c r="AI25" s="18">
        <v>3307</v>
      </c>
      <c r="AJ25" s="18">
        <v>58.04</v>
      </c>
      <c r="AL25" s="6">
        <v>2937</v>
      </c>
      <c r="AM25" s="6">
        <v>57.63</v>
      </c>
      <c r="AO25" s="6">
        <v>3106</v>
      </c>
      <c r="AP25" s="6">
        <v>57.31</v>
      </c>
      <c r="AR25" s="6">
        <v>2512</v>
      </c>
      <c r="AS25" s="6">
        <v>57.2</v>
      </c>
      <c r="AU25" s="6">
        <v>3642</v>
      </c>
      <c r="AV25" s="6">
        <v>57.54</v>
      </c>
      <c r="AX25" s="6">
        <v>2549</v>
      </c>
      <c r="AY25" s="6">
        <v>58.04</v>
      </c>
      <c r="BA25" s="6">
        <v>2802</v>
      </c>
      <c r="BB25" s="6">
        <v>58.03</v>
      </c>
      <c r="BD25" s="6">
        <v>4595</v>
      </c>
      <c r="BE25" s="6">
        <v>57.71</v>
      </c>
      <c r="BG25" s="6">
        <v>3734</v>
      </c>
      <c r="BH25" s="6">
        <v>56.31</v>
      </c>
      <c r="BM25" s="6">
        <v>2535</v>
      </c>
      <c r="BN25" s="6">
        <v>57.54</v>
      </c>
      <c r="BS25" s="6">
        <v>5151</v>
      </c>
      <c r="BT25" s="6">
        <v>57.08</v>
      </c>
      <c r="BV25" s="6">
        <v>3549</v>
      </c>
      <c r="BW25" s="6">
        <v>56.28</v>
      </c>
      <c r="CD25" s="13" t="s">
        <v>54</v>
      </c>
      <c r="CE25" s="15">
        <v>4665</v>
      </c>
      <c r="CF25" s="15">
        <v>57.64</v>
      </c>
      <c r="CH25" s="22"/>
      <c r="CI25" s="22"/>
      <c r="CK25" s="21">
        <v>4206</v>
      </c>
      <c r="CL25" s="25">
        <v>56.93</v>
      </c>
      <c r="CV25" s="13" t="s">
        <v>54</v>
      </c>
      <c r="CW25" s="27">
        <v>3738</v>
      </c>
      <c r="CX25" s="27">
        <v>57.64</v>
      </c>
      <c r="CZ25" s="25">
        <v>3230</v>
      </c>
      <c r="DA25" s="25">
        <v>56.82</v>
      </c>
      <c r="DO25" s="6">
        <v>2516</v>
      </c>
      <c r="DP25" s="6">
        <v>51.48</v>
      </c>
      <c r="ED25" s="25">
        <v>3053</v>
      </c>
      <c r="EE25" s="25">
        <v>57.1</v>
      </c>
      <c r="EG25" s="6">
        <v>2670</v>
      </c>
      <c r="EH25" s="6">
        <v>56</v>
      </c>
      <c r="EJ25" s="25">
        <v>2380</v>
      </c>
      <c r="EK25" s="25">
        <v>56.47</v>
      </c>
      <c r="EM25" s="25">
        <v>2373</v>
      </c>
      <c r="EN25" s="25">
        <v>56.36</v>
      </c>
      <c r="EP25" s="21">
        <v>2448</v>
      </c>
      <c r="EQ25" s="25">
        <v>56.36</v>
      </c>
      <c r="ES25" s="21">
        <v>2468</v>
      </c>
      <c r="ET25" s="25">
        <v>52.05</v>
      </c>
      <c r="EV25" s="6">
        <f t="shared" si="0"/>
        <v>2477</v>
      </c>
      <c r="EW25" s="25">
        <v>55.18</v>
      </c>
      <c r="EY25" s="6">
        <f t="shared" si="1"/>
        <v>2597</v>
      </c>
      <c r="EZ25" s="25">
        <v>53.6</v>
      </c>
    </row>
    <row r="26" spans="2:156" x14ac:dyDescent="0.35">
      <c r="B26" s="38">
        <v>2664</v>
      </c>
      <c r="C26" s="38">
        <v>53.73</v>
      </c>
      <c r="E26" s="6">
        <v>2249</v>
      </c>
      <c r="F26" s="6">
        <v>54.54</v>
      </c>
      <c r="G26" s="11"/>
      <c r="H26" s="6">
        <v>2586</v>
      </c>
      <c r="I26" s="6">
        <v>53.98</v>
      </c>
      <c r="J26" s="17"/>
      <c r="K26" s="6">
        <v>2073</v>
      </c>
      <c r="L26" s="6">
        <v>54.95</v>
      </c>
      <c r="N26" s="6">
        <v>2330</v>
      </c>
      <c r="O26" s="6">
        <v>57.05</v>
      </c>
      <c r="Q26" s="6">
        <v>3497</v>
      </c>
      <c r="R26" s="6">
        <v>56.81</v>
      </c>
      <c r="T26" s="6">
        <v>3036</v>
      </c>
      <c r="U26" s="6">
        <v>57.51</v>
      </c>
      <c r="W26" s="6">
        <v>3423</v>
      </c>
      <c r="X26" s="6">
        <v>57.5</v>
      </c>
      <c r="Z26" s="6">
        <v>2888</v>
      </c>
      <c r="AA26" s="6">
        <v>57.6</v>
      </c>
      <c r="AC26" s="6">
        <v>1879</v>
      </c>
      <c r="AD26" s="6">
        <v>58.18</v>
      </c>
      <c r="AF26" s="6">
        <v>3108</v>
      </c>
      <c r="AG26" s="6">
        <v>57.63</v>
      </c>
      <c r="AI26" s="18">
        <v>3495</v>
      </c>
      <c r="AJ26" s="18">
        <v>57.33</v>
      </c>
      <c r="AL26" s="6">
        <v>3028</v>
      </c>
      <c r="AM26" s="6">
        <v>56.59</v>
      </c>
      <c r="AO26" s="6">
        <v>3295</v>
      </c>
      <c r="AP26" s="6">
        <v>57.38</v>
      </c>
      <c r="AR26" s="6">
        <v>2692</v>
      </c>
      <c r="AS26" s="6">
        <v>57.39</v>
      </c>
      <c r="AU26" s="6">
        <v>3843</v>
      </c>
      <c r="AV26" s="6">
        <v>57.54</v>
      </c>
      <c r="AX26" s="6">
        <v>2656</v>
      </c>
      <c r="AY26" s="6">
        <v>58.05</v>
      </c>
      <c r="BA26" s="6">
        <v>3059</v>
      </c>
      <c r="BB26" s="6">
        <v>57.52</v>
      </c>
      <c r="BD26" s="6">
        <v>4958</v>
      </c>
      <c r="BE26" s="6">
        <v>57.92</v>
      </c>
      <c r="BG26" s="6">
        <v>3974</v>
      </c>
      <c r="BH26" s="6">
        <v>56.55</v>
      </c>
      <c r="BM26" s="6">
        <v>2639</v>
      </c>
      <c r="BN26" s="6">
        <v>57.55</v>
      </c>
      <c r="BR26" s="13" t="s">
        <v>54</v>
      </c>
      <c r="BS26" s="15">
        <v>5439</v>
      </c>
      <c r="BT26" s="15">
        <v>57.17</v>
      </c>
      <c r="BV26" s="6">
        <v>3860</v>
      </c>
      <c r="BW26" s="6">
        <v>55.99</v>
      </c>
      <c r="CH26" s="22"/>
      <c r="CI26" s="22"/>
      <c r="CK26" s="21">
        <v>4320</v>
      </c>
      <c r="CL26" s="25">
        <v>56.79</v>
      </c>
      <c r="CZ26" s="25">
        <v>3756</v>
      </c>
      <c r="DA26" s="25">
        <v>56.28</v>
      </c>
      <c r="DO26" s="6">
        <v>2655</v>
      </c>
      <c r="DP26" s="6">
        <v>53.07</v>
      </c>
      <c r="EC26" s="19" t="s">
        <v>54</v>
      </c>
      <c r="ED26" s="9">
        <v>3481</v>
      </c>
      <c r="EE26" s="9">
        <v>57.64</v>
      </c>
      <c r="EG26" s="6">
        <v>2774</v>
      </c>
      <c r="EH26" s="6">
        <v>56.67</v>
      </c>
      <c r="EJ26" s="25">
        <v>2549</v>
      </c>
      <c r="EK26" s="25">
        <v>55.73</v>
      </c>
      <c r="EM26" s="25">
        <v>2465</v>
      </c>
      <c r="EN26" s="25">
        <v>56.39</v>
      </c>
      <c r="EP26" s="21">
        <v>2604</v>
      </c>
      <c r="EQ26" s="25">
        <v>56.39</v>
      </c>
      <c r="ES26" s="21">
        <v>2563</v>
      </c>
      <c r="ET26" s="25">
        <v>52.96</v>
      </c>
      <c r="EV26" s="6">
        <f t="shared" si="0"/>
        <v>2562</v>
      </c>
      <c r="EW26" s="25">
        <v>55.37</v>
      </c>
      <c r="EY26" s="6">
        <f t="shared" si="1"/>
        <v>2683</v>
      </c>
      <c r="EZ26" s="25">
        <v>54.11</v>
      </c>
    </row>
    <row r="27" spans="2:156" x14ac:dyDescent="0.35">
      <c r="B27" s="38">
        <v>2774</v>
      </c>
      <c r="C27" s="38">
        <v>53.88</v>
      </c>
      <c r="E27" s="6">
        <v>2336</v>
      </c>
      <c r="F27" s="6">
        <v>55.03</v>
      </c>
      <c r="G27" s="11"/>
      <c r="H27" s="6">
        <v>2682</v>
      </c>
      <c r="I27" s="6">
        <v>53.92</v>
      </c>
      <c r="J27" s="17"/>
      <c r="K27" s="6">
        <v>2182</v>
      </c>
      <c r="L27" s="6">
        <v>54.93</v>
      </c>
      <c r="N27" s="6">
        <v>2437</v>
      </c>
      <c r="O27" s="6">
        <v>57.49</v>
      </c>
      <c r="Q27" s="6">
        <v>3617</v>
      </c>
      <c r="R27" s="6">
        <v>57.56</v>
      </c>
      <c r="T27" s="6">
        <v>3371</v>
      </c>
      <c r="U27" s="6">
        <v>57.56</v>
      </c>
      <c r="W27" s="6">
        <v>3804</v>
      </c>
      <c r="X27" s="6">
        <v>57.2</v>
      </c>
      <c r="Z27" s="6">
        <v>3035</v>
      </c>
      <c r="AA27" s="6">
        <v>57.5</v>
      </c>
      <c r="AC27" s="6">
        <v>1985</v>
      </c>
      <c r="AD27" s="6">
        <v>57.58</v>
      </c>
      <c r="AF27" s="6">
        <v>3208</v>
      </c>
      <c r="AG27" s="6">
        <v>57.77</v>
      </c>
      <c r="AI27" s="18">
        <v>3586</v>
      </c>
      <c r="AJ27" s="18">
        <v>58.16</v>
      </c>
      <c r="AL27" s="6">
        <v>3207</v>
      </c>
      <c r="AM27" s="6">
        <v>57.54</v>
      </c>
      <c r="AO27" s="6">
        <v>3573</v>
      </c>
      <c r="AP27" s="6">
        <v>57.6</v>
      </c>
      <c r="AR27" s="6">
        <v>2902</v>
      </c>
      <c r="AS27" s="6">
        <v>57.26</v>
      </c>
      <c r="AU27" s="6">
        <v>4005</v>
      </c>
      <c r="AV27" s="6">
        <v>57.5</v>
      </c>
      <c r="AX27" s="6">
        <v>2933</v>
      </c>
      <c r="AY27" s="6">
        <v>57.6</v>
      </c>
      <c r="BA27" s="6">
        <v>3253</v>
      </c>
      <c r="BB27" s="6">
        <v>56.11</v>
      </c>
      <c r="BD27" s="6">
        <v>5275</v>
      </c>
      <c r="BE27" s="6">
        <v>56.67</v>
      </c>
      <c r="BG27" s="6">
        <v>4155</v>
      </c>
      <c r="BH27" s="6">
        <v>56.59</v>
      </c>
      <c r="BM27" s="6">
        <v>2851</v>
      </c>
      <c r="BN27" s="6">
        <v>57.55</v>
      </c>
      <c r="BV27" s="6">
        <v>3993</v>
      </c>
      <c r="BW27" s="6">
        <v>56.48</v>
      </c>
      <c r="CH27" s="22"/>
      <c r="CI27" s="22"/>
      <c r="CK27" s="21">
        <v>4707</v>
      </c>
      <c r="CL27" s="25">
        <v>56.24</v>
      </c>
      <c r="CZ27" s="25">
        <v>3981</v>
      </c>
      <c r="DA27" s="25">
        <v>56.49</v>
      </c>
      <c r="DO27" s="6">
        <v>2859</v>
      </c>
      <c r="DP27" s="6">
        <v>53.78</v>
      </c>
      <c r="EG27" s="6">
        <v>2925</v>
      </c>
      <c r="EH27" s="6">
        <v>56.21</v>
      </c>
      <c r="EJ27" s="25">
        <v>2654</v>
      </c>
      <c r="EK27" s="25">
        <v>56.25</v>
      </c>
      <c r="EM27" s="25">
        <v>2546</v>
      </c>
      <c r="EN27" s="25">
        <v>56.42</v>
      </c>
      <c r="EP27" s="21">
        <v>2684</v>
      </c>
      <c r="EQ27" s="25">
        <v>56.42</v>
      </c>
      <c r="ES27" s="21">
        <v>2626</v>
      </c>
      <c r="ET27" s="25">
        <v>52.84</v>
      </c>
      <c r="EV27" s="6">
        <f t="shared" si="0"/>
        <v>2647</v>
      </c>
      <c r="EW27" s="25">
        <v>55.85</v>
      </c>
      <c r="EY27" s="6">
        <f t="shared" si="1"/>
        <v>2806</v>
      </c>
      <c r="EZ27" s="25">
        <v>54.69</v>
      </c>
    </row>
    <row r="28" spans="2:156" x14ac:dyDescent="0.35">
      <c r="B28" s="38">
        <v>2896</v>
      </c>
      <c r="C28" s="38">
        <v>54.85</v>
      </c>
      <c r="E28" s="6">
        <v>2401</v>
      </c>
      <c r="F28" s="6">
        <v>56.25</v>
      </c>
      <c r="G28" s="11"/>
      <c r="H28" s="6">
        <v>2780</v>
      </c>
      <c r="I28" s="6">
        <v>53.86</v>
      </c>
      <c r="J28" s="17"/>
      <c r="K28" s="6">
        <v>2316</v>
      </c>
      <c r="L28" s="6">
        <v>54.53</v>
      </c>
      <c r="N28" s="6">
        <v>2577</v>
      </c>
      <c r="O28" s="6">
        <v>59.47</v>
      </c>
      <c r="Q28" s="6">
        <v>3740</v>
      </c>
      <c r="R28" s="6">
        <v>57.44</v>
      </c>
      <c r="T28" s="6">
        <v>3495</v>
      </c>
      <c r="U28" s="6">
        <v>57.44</v>
      </c>
      <c r="W28" s="6">
        <v>4024</v>
      </c>
      <c r="X28" s="6">
        <v>57.56</v>
      </c>
      <c r="Z28" s="6">
        <v>3309</v>
      </c>
      <c r="AA28" s="6">
        <v>57.17</v>
      </c>
      <c r="AC28" s="6">
        <v>2086</v>
      </c>
      <c r="AD28" s="6">
        <v>57.51</v>
      </c>
      <c r="AF28" s="6">
        <v>3436</v>
      </c>
      <c r="AG28" s="6">
        <v>59.03</v>
      </c>
      <c r="AI28" s="18">
        <v>3767</v>
      </c>
      <c r="AJ28" s="18">
        <v>57.65</v>
      </c>
      <c r="AL28" s="6">
        <v>3448</v>
      </c>
      <c r="AM28" s="6">
        <v>57.38</v>
      </c>
      <c r="AO28" s="6">
        <v>3755</v>
      </c>
      <c r="AP28" s="6">
        <v>57.56</v>
      </c>
      <c r="AR28" s="6">
        <v>3161</v>
      </c>
      <c r="AS28" s="6">
        <v>57.39</v>
      </c>
      <c r="AU28" s="6">
        <v>4223</v>
      </c>
      <c r="AV28" s="6">
        <v>57.55</v>
      </c>
      <c r="AX28" s="6">
        <v>3110</v>
      </c>
      <c r="AY28" s="6">
        <v>57.56</v>
      </c>
      <c r="BA28" s="6">
        <v>3404</v>
      </c>
      <c r="BB28" s="6">
        <v>57.47</v>
      </c>
      <c r="BC28" s="19" t="s">
        <v>54</v>
      </c>
      <c r="BD28" s="9">
        <v>5359</v>
      </c>
      <c r="BE28" s="9">
        <v>57.64</v>
      </c>
      <c r="BG28" s="6">
        <v>4336</v>
      </c>
      <c r="BH28" s="6">
        <v>56.56</v>
      </c>
      <c r="BM28" s="6">
        <v>3154</v>
      </c>
      <c r="BN28" s="6">
        <v>56.58</v>
      </c>
      <c r="BU28" s="19" t="s">
        <v>54</v>
      </c>
      <c r="BV28" s="9">
        <v>4192</v>
      </c>
      <c r="BW28" s="9">
        <v>57.17</v>
      </c>
      <c r="CH28" s="22"/>
      <c r="CI28" s="22"/>
      <c r="CK28" s="21">
        <v>4951</v>
      </c>
      <c r="CL28" s="25">
        <v>56.42</v>
      </c>
      <c r="CZ28" s="25">
        <v>4317</v>
      </c>
      <c r="DA28" s="25">
        <v>57.92</v>
      </c>
      <c r="DO28" s="6">
        <v>2941</v>
      </c>
      <c r="DP28" s="6">
        <v>53.65</v>
      </c>
      <c r="EG28" s="6">
        <v>3160</v>
      </c>
      <c r="EH28" s="6">
        <v>56.35</v>
      </c>
      <c r="EJ28" s="25">
        <v>2755</v>
      </c>
      <c r="EK28" s="25">
        <v>55.55</v>
      </c>
      <c r="EM28" s="25">
        <v>2832</v>
      </c>
      <c r="EN28" s="25">
        <v>56.33</v>
      </c>
      <c r="EP28" s="21">
        <v>3056</v>
      </c>
      <c r="EQ28" s="25">
        <v>56.51</v>
      </c>
      <c r="ES28" s="21">
        <v>2690</v>
      </c>
      <c r="ET28" s="25">
        <v>52.7</v>
      </c>
      <c r="EV28" s="6">
        <f t="shared" si="0"/>
        <v>2762</v>
      </c>
      <c r="EW28" s="25">
        <v>55.95</v>
      </c>
      <c r="EY28" s="6">
        <f t="shared" si="1"/>
        <v>2867</v>
      </c>
      <c r="EZ28" s="25">
        <v>54.93</v>
      </c>
    </row>
    <row r="29" spans="2:156" x14ac:dyDescent="0.35">
      <c r="B29" s="38">
        <v>2994</v>
      </c>
      <c r="C29" s="38">
        <v>55</v>
      </c>
      <c r="E29" s="6">
        <v>2424</v>
      </c>
      <c r="F29" s="6">
        <v>54.34</v>
      </c>
      <c r="G29" s="11"/>
      <c r="H29" s="6">
        <v>2878</v>
      </c>
      <c r="I29" s="6">
        <v>53.92</v>
      </c>
      <c r="K29" s="6">
        <v>2403</v>
      </c>
      <c r="L29" s="6">
        <v>54.67</v>
      </c>
      <c r="N29" s="6">
        <v>2613</v>
      </c>
      <c r="O29" s="6">
        <v>61.6</v>
      </c>
      <c r="Q29" s="6">
        <v>3806</v>
      </c>
      <c r="R29" s="6">
        <v>57.5</v>
      </c>
      <c r="T29" s="6">
        <v>3568</v>
      </c>
      <c r="U29" s="6">
        <v>57.5</v>
      </c>
      <c r="W29" s="6">
        <v>4206</v>
      </c>
      <c r="X29" s="6">
        <v>57.51</v>
      </c>
      <c r="Z29" s="6">
        <v>3490</v>
      </c>
      <c r="AA29" s="6">
        <v>57.2</v>
      </c>
      <c r="AC29" s="6">
        <v>2254</v>
      </c>
      <c r="AD29" s="6">
        <v>57.44</v>
      </c>
      <c r="AF29" s="6">
        <v>3507</v>
      </c>
      <c r="AG29" s="6">
        <v>58.51</v>
      </c>
      <c r="AI29" s="18">
        <v>3990</v>
      </c>
      <c r="AJ29" s="18">
        <v>57.49</v>
      </c>
      <c r="AL29" s="6">
        <v>3646</v>
      </c>
      <c r="AM29" s="6">
        <v>58.09</v>
      </c>
      <c r="AO29" s="6">
        <v>3885</v>
      </c>
      <c r="AP29" s="6">
        <v>57.49</v>
      </c>
      <c r="AR29" s="6">
        <v>3343</v>
      </c>
      <c r="AS29" s="6">
        <v>57.31</v>
      </c>
      <c r="AU29" s="6">
        <v>4439</v>
      </c>
      <c r="AV29" s="6">
        <v>57.55</v>
      </c>
      <c r="AX29" s="6">
        <v>3390</v>
      </c>
      <c r="AY29" s="6">
        <v>57.62</v>
      </c>
      <c r="BA29" s="6">
        <v>3523</v>
      </c>
      <c r="BB29" s="6">
        <v>57.46</v>
      </c>
      <c r="BG29" s="6">
        <v>4535</v>
      </c>
      <c r="BH29" s="6">
        <v>56.54</v>
      </c>
      <c r="BM29" s="6">
        <v>3334</v>
      </c>
      <c r="BN29" s="6">
        <v>56.64</v>
      </c>
      <c r="CH29" s="22"/>
      <c r="CI29" s="22"/>
      <c r="CK29" s="21">
        <v>5311</v>
      </c>
      <c r="CL29" s="25">
        <v>57.1</v>
      </c>
      <c r="CZ29" s="25">
        <v>4593</v>
      </c>
      <c r="DA29" s="25">
        <v>56.67</v>
      </c>
      <c r="DO29" s="6">
        <v>3115</v>
      </c>
      <c r="DP29" s="6">
        <v>54.18</v>
      </c>
      <c r="EG29" s="6">
        <v>3318</v>
      </c>
      <c r="EH29" s="6">
        <v>56.39</v>
      </c>
      <c r="EJ29" s="25">
        <v>2872</v>
      </c>
      <c r="EK29" s="25">
        <v>55.62</v>
      </c>
      <c r="EL29" s="28"/>
      <c r="EM29" s="6">
        <v>2986</v>
      </c>
      <c r="EN29" s="6">
        <v>56.42</v>
      </c>
      <c r="EP29" s="21">
        <v>3228</v>
      </c>
      <c r="EQ29" s="25">
        <v>56.98</v>
      </c>
      <c r="ES29" s="21">
        <v>2808</v>
      </c>
      <c r="ET29" s="25">
        <v>54.64</v>
      </c>
      <c r="EV29" s="6">
        <f t="shared" si="0"/>
        <v>2858</v>
      </c>
      <c r="EW29" s="25">
        <v>56.36</v>
      </c>
      <c r="EY29" s="6">
        <f t="shared" si="1"/>
        <v>2961</v>
      </c>
      <c r="EZ29" s="25">
        <v>55.15</v>
      </c>
    </row>
    <row r="30" spans="2:156" x14ac:dyDescent="0.35">
      <c r="B30" s="38">
        <v>3107</v>
      </c>
      <c r="C30" s="38">
        <v>56</v>
      </c>
      <c r="E30" s="6">
        <v>2467</v>
      </c>
      <c r="F30" s="6">
        <v>54.35</v>
      </c>
      <c r="G30" s="11"/>
      <c r="H30" s="6">
        <v>2977</v>
      </c>
      <c r="I30" s="6">
        <v>53.99</v>
      </c>
      <c r="K30" s="6">
        <v>2510</v>
      </c>
      <c r="L30" s="6">
        <v>54.57</v>
      </c>
      <c r="N30" s="6">
        <v>2826</v>
      </c>
      <c r="O30" s="6">
        <v>57.6</v>
      </c>
      <c r="Q30" s="6">
        <v>3977</v>
      </c>
      <c r="R30" s="6">
        <v>57.5</v>
      </c>
      <c r="T30" s="6">
        <v>3630</v>
      </c>
      <c r="U30" s="6">
        <v>57.48</v>
      </c>
      <c r="W30" s="6">
        <v>4409</v>
      </c>
      <c r="X30" s="6">
        <v>56.59</v>
      </c>
      <c r="Z30" s="6">
        <v>3609</v>
      </c>
      <c r="AA30" s="6">
        <v>57.56</v>
      </c>
      <c r="AC30" s="6">
        <v>2444</v>
      </c>
      <c r="AD30" s="6">
        <v>57.53</v>
      </c>
      <c r="AF30" s="6">
        <v>3632</v>
      </c>
      <c r="AG30" s="6">
        <v>58.57</v>
      </c>
      <c r="AI30" s="18">
        <v>4212</v>
      </c>
      <c r="AJ30" s="18">
        <v>57.49</v>
      </c>
      <c r="AL30" s="6">
        <v>3822</v>
      </c>
      <c r="AM30" s="6">
        <v>57.65</v>
      </c>
      <c r="AO30" s="6">
        <v>4069</v>
      </c>
      <c r="AP30" s="6">
        <v>57.5</v>
      </c>
      <c r="AR30" s="6">
        <v>3466</v>
      </c>
      <c r="AS30" s="6">
        <v>57.5</v>
      </c>
      <c r="AU30" s="6">
        <v>4730</v>
      </c>
      <c r="AV30" s="6">
        <v>56.58</v>
      </c>
      <c r="AX30" s="6">
        <v>3457</v>
      </c>
      <c r="AY30" s="6">
        <v>57.49</v>
      </c>
      <c r="BA30" s="6">
        <v>3647</v>
      </c>
      <c r="BB30" s="6">
        <v>57.71</v>
      </c>
      <c r="BG30" s="6">
        <v>5191</v>
      </c>
      <c r="BH30" s="6">
        <v>57.06</v>
      </c>
      <c r="BL30" s="13" t="s">
        <v>54</v>
      </c>
      <c r="BM30" s="15">
        <v>3497</v>
      </c>
      <c r="BN30" s="15">
        <v>57.64</v>
      </c>
      <c r="CH30" s="22"/>
      <c r="CI30" s="22"/>
      <c r="CJ30" s="13" t="s">
        <v>54</v>
      </c>
      <c r="CK30" s="27">
        <v>5701</v>
      </c>
      <c r="CL30" s="15">
        <v>57.64</v>
      </c>
      <c r="CY30" s="19" t="s">
        <v>54</v>
      </c>
      <c r="CZ30" s="9">
        <v>4674</v>
      </c>
      <c r="DA30" s="9">
        <v>57.64</v>
      </c>
      <c r="DO30" s="6">
        <v>3232</v>
      </c>
      <c r="DP30" s="6">
        <v>54.18</v>
      </c>
      <c r="EG30" s="6">
        <v>3460</v>
      </c>
      <c r="EH30" s="6">
        <v>56.32</v>
      </c>
      <c r="EJ30" s="25">
        <v>3079</v>
      </c>
      <c r="EK30" s="25">
        <v>56.62</v>
      </c>
      <c r="EM30" s="25">
        <v>3350</v>
      </c>
      <c r="EN30" s="25">
        <v>57.1</v>
      </c>
      <c r="EP30" s="21">
        <v>3488</v>
      </c>
      <c r="EQ30" s="25">
        <v>57.1</v>
      </c>
      <c r="ES30" s="21">
        <v>2903</v>
      </c>
      <c r="ET30" s="25">
        <v>54.71</v>
      </c>
      <c r="EV30" s="6">
        <f t="shared" si="0"/>
        <v>2946</v>
      </c>
      <c r="EW30" s="25">
        <v>56.48</v>
      </c>
      <c r="EY30" s="6">
        <f t="shared" si="1"/>
        <v>3050</v>
      </c>
      <c r="EZ30" s="25">
        <v>55.18</v>
      </c>
    </row>
    <row r="31" spans="2:156" x14ac:dyDescent="0.35">
      <c r="B31" s="38">
        <v>3195</v>
      </c>
      <c r="C31" s="38">
        <v>56.82</v>
      </c>
      <c r="E31" s="6">
        <v>2664</v>
      </c>
      <c r="F31" s="6">
        <v>54.47</v>
      </c>
      <c r="G31" s="11"/>
      <c r="H31" s="6">
        <v>3039</v>
      </c>
      <c r="I31" s="6">
        <v>54.01</v>
      </c>
      <c r="K31" s="6">
        <v>2632</v>
      </c>
      <c r="L31" s="6">
        <v>54.53</v>
      </c>
      <c r="N31" s="6">
        <v>3008</v>
      </c>
      <c r="O31" s="6">
        <v>57.48</v>
      </c>
      <c r="Q31" s="6">
        <v>4044</v>
      </c>
      <c r="R31" s="6">
        <v>57.6</v>
      </c>
      <c r="T31" s="6">
        <v>3728</v>
      </c>
      <c r="U31" s="6">
        <v>57.5</v>
      </c>
      <c r="W31" s="6">
        <v>4522</v>
      </c>
      <c r="X31" s="6">
        <v>57.52</v>
      </c>
      <c r="Z31" s="6">
        <v>3820</v>
      </c>
      <c r="AA31" s="6">
        <v>57.92</v>
      </c>
      <c r="AC31" s="6">
        <v>2535</v>
      </c>
      <c r="AD31" s="6">
        <v>57.5</v>
      </c>
      <c r="AF31" s="6">
        <v>3863</v>
      </c>
      <c r="AG31" s="6">
        <v>58.11</v>
      </c>
      <c r="AI31" s="18">
        <v>4377</v>
      </c>
      <c r="AJ31" s="18">
        <v>57.45</v>
      </c>
      <c r="AL31" s="6">
        <v>4222</v>
      </c>
      <c r="AM31" s="6">
        <v>57.5</v>
      </c>
      <c r="AO31" s="6">
        <v>4206</v>
      </c>
      <c r="AP31" s="6">
        <v>57.43</v>
      </c>
      <c r="AR31" s="6">
        <v>3585</v>
      </c>
      <c r="AS31" s="6">
        <v>57.2</v>
      </c>
      <c r="AT31" s="13" t="s">
        <v>54</v>
      </c>
      <c r="AU31" s="15">
        <v>5079</v>
      </c>
      <c r="AV31" s="15">
        <v>57.64</v>
      </c>
      <c r="AX31" s="6">
        <v>3537</v>
      </c>
      <c r="AY31" s="6">
        <v>57.43</v>
      </c>
      <c r="BA31" s="6">
        <v>3951</v>
      </c>
      <c r="BB31" s="6">
        <v>58.11</v>
      </c>
      <c r="BG31" s="6">
        <v>5505</v>
      </c>
      <c r="BH31" s="6">
        <v>57.71</v>
      </c>
      <c r="CH31" s="22"/>
      <c r="CI31" s="22"/>
      <c r="DO31" s="6">
        <v>3317</v>
      </c>
      <c r="DP31" s="6">
        <v>54.95</v>
      </c>
      <c r="EG31" s="6">
        <v>3641</v>
      </c>
      <c r="EH31" s="6">
        <v>56.24</v>
      </c>
      <c r="EJ31" s="25">
        <v>3150</v>
      </c>
      <c r="EK31" s="25">
        <v>56.7</v>
      </c>
      <c r="EL31" s="13" t="s">
        <v>54</v>
      </c>
      <c r="EM31" s="15">
        <v>3887</v>
      </c>
      <c r="EN31" s="15">
        <v>51.17</v>
      </c>
      <c r="EP31" s="21">
        <v>3729</v>
      </c>
      <c r="EQ31" s="25">
        <v>57.08</v>
      </c>
      <c r="ES31" s="21">
        <v>2972</v>
      </c>
      <c r="ET31" s="25">
        <v>54.96</v>
      </c>
      <c r="EV31" s="6">
        <f t="shared" si="0"/>
        <v>3120</v>
      </c>
      <c r="EW31" s="25">
        <v>56.35</v>
      </c>
      <c r="EY31" s="6">
        <f t="shared" si="1"/>
        <v>3135</v>
      </c>
      <c r="EZ31" s="25">
        <v>55.37</v>
      </c>
    </row>
    <row r="32" spans="2:156" x14ac:dyDescent="0.35">
      <c r="B32" s="38">
        <v>3387</v>
      </c>
      <c r="C32" s="38">
        <v>57.43</v>
      </c>
      <c r="E32" s="6">
        <v>2762</v>
      </c>
      <c r="F32" s="6">
        <v>54.2</v>
      </c>
      <c r="G32" s="11"/>
      <c r="H32" s="6">
        <v>3134</v>
      </c>
      <c r="I32" s="6">
        <v>53.63</v>
      </c>
      <c r="K32" s="6">
        <v>2735</v>
      </c>
      <c r="L32" s="6">
        <v>55.06</v>
      </c>
      <c r="N32" s="6">
        <v>3192</v>
      </c>
      <c r="O32" s="6">
        <v>57.5</v>
      </c>
      <c r="Q32" s="6">
        <v>4176</v>
      </c>
      <c r="R32" s="6">
        <v>57.5</v>
      </c>
      <c r="T32" s="6">
        <v>3814</v>
      </c>
      <c r="U32" s="6">
        <v>57.6</v>
      </c>
      <c r="W32" s="6">
        <v>4724</v>
      </c>
      <c r="X32" s="6">
        <v>58.04</v>
      </c>
      <c r="Z32" s="6">
        <v>4030</v>
      </c>
      <c r="AA32" s="6">
        <v>57.63</v>
      </c>
      <c r="AC32" s="6">
        <v>2651</v>
      </c>
      <c r="AD32" s="6">
        <v>57.53</v>
      </c>
      <c r="AF32" s="6">
        <v>4080</v>
      </c>
      <c r="AG32" s="6">
        <v>57.61</v>
      </c>
      <c r="AI32" s="18">
        <v>4540</v>
      </c>
      <c r="AJ32" s="18">
        <v>58</v>
      </c>
      <c r="AL32" s="6">
        <v>4364</v>
      </c>
      <c r="AM32" s="6">
        <v>57.43</v>
      </c>
      <c r="AO32" s="6">
        <v>4439</v>
      </c>
      <c r="AP32" s="6">
        <v>58</v>
      </c>
      <c r="AR32" s="6">
        <v>3724</v>
      </c>
      <c r="AS32" s="6">
        <v>57.36</v>
      </c>
      <c r="AX32" s="6">
        <v>3621</v>
      </c>
      <c r="AY32" s="6">
        <v>57.45</v>
      </c>
      <c r="BA32" s="6">
        <v>4064</v>
      </c>
      <c r="BB32" s="6">
        <v>57.1</v>
      </c>
      <c r="BG32" s="6">
        <v>5812</v>
      </c>
      <c r="BH32" s="6">
        <v>57.61</v>
      </c>
      <c r="CH32" s="22"/>
      <c r="CI32" s="22"/>
      <c r="DO32" s="6">
        <v>3447</v>
      </c>
      <c r="DP32" s="6">
        <v>55.4</v>
      </c>
      <c r="EG32" s="6">
        <v>3885</v>
      </c>
      <c r="EH32" s="6">
        <v>56.42</v>
      </c>
      <c r="EJ32" s="25">
        <v>3225</v>
      </c>
      <c r="EK32" s="25">
        <v>56.42</v>
      </c>
      <c r="EO32" s="19" t="s">
        <v>54</v>
      </c>
      <c r="EP32" s="31">
        <v>4038</v>
      </c>
      <c r="EQ32" s="9">
        <v>57.17</v>
      </c>
      <c r="ES32" s="21">
        <v>2989</v>
      </c>
      <c r="ET32" s="25">
        <v>55.25</v>
      </c>
      <c r="EV32" s="6">
        <f t="shared" si="0"/>
        <v>3198</v>
      </c>
      <c r="EW32" s="25">
        <v>56.36</v>
      </c>
      <c r="EY32" s="6">
        <f t="shared" si="1"/>
        <v>3220</v>
      </c>
      <c r="EZ32" s="25">
        <v>55.85</v>
      </c>
    </row>
    <row r="33" spans="2:156" x14ac:dyDescent="0.35">
      <c r="B33" s="38">
        <v>3475</v>
      </c>
      <c r="C33" s="38">
        <v>58.95</v>
      </c>
      <c r="E33" s="6">
        <v>2857</v>
      </c>
      <c r="F33" s="6">
        <v>54.73</v>
      </c>
      <c r="G33" s="11"/>
      <c r="H33" s="6">
        <v>3224</v>
      </c>
      <c r="I33" s="6">
        <v>54.54</v>
      </c>
      <c r="K33" s="6">
        <v>2838</v>
      </c>
      <c r="L33" s="6">
        <v>55.04</v>
      </c>
      <c r="N33" s="6">
        <v>3459</v>
      </c>
      <c r="O33" s="6">
        <v>57.5</v>
      </c>
      <c r="Q33" s="6">
        <v>4665</v>
      </c>
      <c r="R33" s="6">
        <v>57.2</v>
      </c>
      <c r="T33" s="6">
        <v>3933</v>
      </c>
      <c r="U33" s="6">
        <v>57.5</v>
      </c>
      <c r="W33" s="6">
        <v>4921</v>
      </c>
      <c r="X33" s="6">
        <v>57.33</v>
      </c>
      <c r="Z33" s="6">
        <v>4120</v>
      </c>
      <c r="AA33" s="6">
        <v>56.59</v>
      </c>
      <c r="AC33" s="6">
        <v>2702</v>
      </c>
      <c r="AD33" s="6">
        <v>58.18</v>
      </c>
      <c r="AF33" s="6">
        <v>4207</v>
      </c>
      <c r="AG33" s="6">
        <v>57.59</v>
      </c>
      <c r="AI33" s="18">
        <v>4786</v>
      </c>
      <c r="AJ33" s="18">
        <v>57.49</v>
      </c>
      <c r="AL33" s="6">
        <v>4591</v>
      </c>
      <c r="AM33" s="6">
        <v>58</v>
      </c>
      <c r="AO33" s="6">
        <v>4780</v>
      </c>
      <c r="AP33" s="6">
        <v>57.56</v>
      </c>
      <c r="AR33" s="6">
        <v>3827</v>
      </c>
      <c r="AS33" s="6">
        <v>57.31</v>
      </c>
      <c r="AX33" s="6">
        <v>3811</v>
      </c>
      <c r="AY33" s="6">
        <v>57.49</v>
      </c>
      <c r="BA33" s="6">
        <v>4299</v>
      </c>
      <c r="BB33" s="6">
        <v>57.22</v>
      </c>
      <c r="BG33" s="6">
        <v>6146</v>
      </c>
      <c r="BH33" s="6">
        <v>57.08</v>
      </c>
      <c r="CH33" s="22"/>
      <c r="CI33" s="22"/>
      <c r="DO33" s="6">
        <v>3605</v>
      </c>
      <c r="DP33" s="6">
        <v>56</v>
      </c>
      <c r="EG33" s="6">
        <v>4096</v>
      </c>
      <c r="EH33" s="6">
        <v>57.71</v>
      </c>
      <c r="EJ33" s="25">
        <v>3843</v>
      </c>
      <c r="EK33" s="25">
        <v>56.27</v>
      </c>
      <c r="ES33" s="21">
        <v>3202</v>
      </c>
      <c r="ET33" s="25">
        <v>55.79</v>
      </c>
      <c r="EV33" s="6">
        <f t="shared" si="0"/>
        <v>3290</v>
      </c>
      <c r="EW33" s="25">
        <v>56.39</v>
      </c>
      <c r="EY33" s="6">
        <f t="shared" si="1"/>
        <v>3335</v>
      </c>
      <c r="EZ33" s="25">
        <v>55.95</v>
      </c>
    </row>
    <row r="34" spans="2:156" x14ac:dyDescent="0.35">
      <c r="B34" s="38">
        <v>3551</v>
      </c>
      <c r="C34" s="38">
        <v>59.93</v>
      </c>
      <c r="E34" s="6">
        <v>2924</v>
      </c>
      <c r="F34" s="6">
        <v>55.11</v>
      </c>
      <c r="G34" s="11"/>
      <c r="H34" s="6">
        <v>3311</v>
      </c>
      <c r="I34" s="6">
        <v>55.03</v>
      </c>
      <c r="K34" s="6">
        <v>2923</v>
      </c>
      <c r="L34" s="6">
        <v>54.36</v>
      </c>
      <c r="N34" s="6">
        <v>3631</v>
      </c>
      <c r="O34" s="6">
        <v>57.55</v>
      </c>
      <c r="Q34" s="6">
        <v>4753</v>
      </c>
      <c r="R34" s="6">
        <v>57.32</v>
      </c>
      <c r="T34" s="6">
        <v>4049</v>
      </c>
      <c r="U34" s="6">
        <v>57.5</v>
      </c>
      <c r="W34" s="6">
        <v>5197</v>
      </c>
      <c r="X34" s="6">
        <v>57.65</v>
      </c>
      <c r="Z34" s="6">
        <v>4298</v>
      </c>
      <c r="AA34" s="6">
        <v>57.54</v>
      </c>
      <c r="AC34" s="6">
        <v>2815</v>
      </c>
      <c r="AD34" s="6">
        <v>57.58</v>
      </c>
      <c r="AF34" s="6">
        <v>4409</v>
      </c>
      <c r="AG34" s="6">
        <v>57.6</v>
      </c>
      <c r="AI34" s="18">
        <v>5117</v>
      </c>
      <c r="AJ34" s="18">
        <v>57.5</v>
      </c>
      <c r="AL34" s="6">
        <v>4664</v>
      </c>
      <c r="AM34" s="6">
        <v>58.03</v>
      </c>
      <c r="AO34" s="6">
        <v>4874</v>
      </c>
      <c r="AP34" s="6">
        <v>56.11</v>
      </c>
      <c r="AR34" s="6">
        <v>4016</v>
      </c>
      <c r="AS34" s="6">
        <v>57.38</v>
      </c>
      <c r="AX34" s="6">
        <v>3939</v>
      </c>
      <c r="AY34" s="6">
        <v>57.49</v>
      </c>
      <c r="AZ34" s="13" t="s">
        <v>54</v>
      </c>
      <c r="BA34" s="15">
        <v>4422</v>
      </c>
      <c r="BB34" s="15">
        <v>57.64</v>
      </c>
      <c r="BG34" s="6">
        <v>6218</v>
      </c>
      <c r="BH34" s="6">
        <v>57.2</v>
      </c>
      <c r="CH34" s="22"/>
      <c r="CI34" s="22"/>
      <c r="DO34" s="6">
        <v>3709</v>
      </c>
      <c r="DP34" s="6">
        <v>56.67</v>
      </c>
      <c r="EG34" s="6">
        <v>4238</v>
      </c>
      <c r="EH34" s="6">
        <v>57.1</v>
      </c>
      <c r="EI34" s="19" t="s">
        <v>54</v>
      </c>
      <c r="EJ34" s="9">
        <v>4027</v>
      </c>
      <c r="EK34" s="9">
        <v>57.17</v>
      </c>
      <c r="ES34" s="21">
        <v>3295</v>
      </c>
      <c r="ET34" s="25">
        <v>55.73</v>
      </c>
      <c r="EV34" s="6">
        <f t="shared" si="0"/>
        <v>3371</v>
      </c>
      <c r="EW34" s="25">
        <v>56.42</v>
      </c>
      <c r="EY34" s="6">
        <f t="shared" si="1"/>
        <v>3431</v>
      </c>
      <c r="EZ34" s="25">
        <v>56.36</v>
      </c>
    </row>
    <row r="35" spans="2:156" x14ac:dyDescent="0.35">
      <c r="B35" s="38">
        <v>3589</v>
      </c>
      <c r="C35" s="38">
        <v>61.6</v>
      </c>
      <c r="E35" s="6">
        <v>2972</v>
      </c>
      <c r="F35" s="6">
        <v>54.76</v>
      </c>
      <c r="G35" s="11"/>
      <c r="H35" s="6">
        <v>3376</v>
      </c>
      <c r="I35" s="6">
        <v>56.25</v>
      </c>
      <c r="K35" s="6">
        <v>3112</v>
      </c>
      <c r="L35" s="6">
        <v>55.07</v>
      </c>
      <c r="N35" s="6">
        <v>3813</v>
      </c>
      <c r="O35" s="6">
        <v>56.81</v>
      </c>
      <c r="Q35" s="6">
        <v>5043</v>
      </c>
      <c r="R35" s="6">
        <v>57.51</v>
      </c>
      <c r="T35" s="6">
        <v>4116</v>
      </c>
      <c r="U35" s="6">
        <v>57.3</v>
      </c>
      <c r="W35" s="6">
        <v>5569</v>
      </c>
      <c r="X35" s="6">
        <v>57.5</v>
      </c>
      <c r="Z35" s="6">
        <v>4542</v>
      </c>
      <c r="AA35" s="6">
        <v>57.38</v>
      </c>
      <c r="AC35" s="6">
        <v>2889</v>
      </c>
      <c r="AD35" s="6">
        <v>57.58</v>
      </c>
      <c r="AF35" s="6">
        <v>4616</v>
      </c>
      <c r="AG35" s="6">
        <v>58.19</v>
      </c>
      <c r="AI35" s="18">
        <v>5379</v>
      </c>
      <c r="AJ35" s="18">
        <v>57.71</v>
      </c>
      <c r="AL35" s="6">
        <v>5024</v>
      </c>
      <c r="AM35" s="6">
        <v>56.11</v>
      </c>
      <c r="AO35" s="6">
        <v>5026</v>
      </c>
      <c r="AP35" s="6">
        <v>57.5</v>
      </c>
      <c r="AR35" s="6">
        <v>4294</v>
      </c>
      <c r="AS35" s="6">
        <v>57.6</v>
      </c>
      <c r="AX35" s="6">
        <v>4113</v>
      </c>
      <c r="AY35" s="6">
        <v>57.5</v>
      </c>
      <c r="BF35" s="13" t="s">
        <v>54</v>
      </c>
      <c r="BG35" s="15">
        <v>6276</v>
      </c>
      <c r="BH35" s="15">
        <v>57.64</v>
      </c>
      <c r="DO35" s="6">
        <v>3860</v>
      </c>
      <c r="DP35" s="6">
        <v>56.21</v>
      </c>
      <c r="EG35" s="6">
        <v>4480</v>
      </c>
      <c r="EH35" s="6">
        <v>57.08</v>
      </c>
      <c r="ES35" s="21">
        <v>3405</v>
      </c>
      <c r="ET35" s="25">
        <v>56.25</v>
      </c>
      <c r="EV35" s="6">
        <f t="shared" si="0"/>
        <v>3657</v>
      </c>
      <c r="EW35" s="25">
        <v>56.33</v>
      </c>
      <c r="EY35" s="6">
        <f t="shared" si="1"/>
        <v>3519</v>
      </c>
      <c r="EZ35" s="25">
        <v>56.48</v>
      </c>
    </row>
    <row r="36" spans="2:156" x14ac:dyDescent="0.35">
      <c r="B36" s="38">
        <v>3703</v>
      </c>
      <c r="C36" s="38">
        <v>58.18</v>
      </c>
      <c r="E36" s="6">
        <v>3027</v>
      </c>
      <c r="F36" s="6">
        <v>56.01</v>
      </c>
      <c r="G36" s="11"/>
      <c r="H36" s="6">
        <v>3399</v>
      </c>
      <c r="I36" s="6">
        <v>54.34</v>
      </c>
      <c r="K36" s="6">
        <v>3307</v>
      </c>
      <c r="L36" s="6">
        <v>55.28</v>
      </c>
      <c r="N36" s="6">
        <v>4051</v>
      </c>
      <c r="O36" s="6">
        <v>57.44</v>
      </c>
      <c r="Q36" s="6">
        <v>5265</v>
      </c>
      <c r="R36" s="6">
        <v>56.59</v>
      </c>
      <c r="T36" s="6">
        <v>4411</v>
      </c>
      <c r="U36" s="6">
        <v>57.37</v>
      </c>
      <c r="W36" s="6">
        <v>5921</v>
      </c>
      <c r="X36" s="6">
        <v>58.64</v>
      </c>
      <c r="Z36" s="6">
        <v>4629</v>
      </c>
      <c r="AA36" s="6">
        <v>57.33</v>
      </c>
      <c r="AC36" s="6">
        <v>2960</v>
      </c>
      <c r="AD36" s="6">
        <v>57.56</v>
      </c>
      <c r="AF36" s="6">
        <v>4761</v>
      </c>
      <c r="AG36" s="6">
        <v>57.54</v>
      </c>
      <c r="AI36" s="18">
        <v>5692</v>
      </c>
      <c r="AJ36" s="18">
        <v>57.92</v>
      </c>
      <c r="AL36" s="6">
        <v>5180</v>
      </c>
      <c r="AM36" s="6">
        <v>57.5</v>
      </c>
      <c r="AO36" s="6">
        <v>5272</v>
      </c>
      <c r="AP36" s="6">
        <v>57.71</v>
      </c>
      <c r="AR36" s="6">
        <v>4476</v>
      </c>
      <c r="AS36" s="6">
        <v>57.56</v>
      </c>
      <c r="AX36" s="6">
        <v>4266</v>
      </c>
      <c r="AY36" s="6">
        <v>57.5</v>
      </c>
      <c r="DO36" s="6">
        <v>4095</v>
      </c>
      <c r="DP36" s="6">
        <v>56.35</v>
      </c>
      <c r="EF36" s="13" t="s">
        <v>54</v>
      </c>
      <c r="EG36" s="15">
        <v>4571</v>
      </c>
      <c r="EH36" s="15">
        <v>57.64</v>
      </c>
      <c r="ES36" s="21">
        <v>3503</v>
      </c>
      <c r="ET36" s="25">
        <v>55.55</v>
      </c>
      <c r="EV36" s="6">
        <f t="shared" si="0"/>
        <v>3811</v>
      </c>
      <c r="EW36" s="6">
        <v>56.42</v>
      </c>
      <c r="EY36" s="6">
        <f t="shared" si="1"/>
        <v>3693</v>
      </c>
      <c r="EZ36" s="25">
        <v>56.35</v>
      </c>
    </row>
    <row r="37" spans="2:156" x14ac:dyDescent="0.35">
      <c r="B37" s="38">
        <v>3809</v>
      </c>
      <c r="C37" s="38">
        <v>57.58</v>
      </c>
      <c r="E37" s="6">
        <v>3094</v>
      </c>
      <c r="F37" s="6">
        <v>54.92</v>
      </c>
      <c r="G37" s="11"/>
      <c r="H37" s="6">
        <v>3442</v>
      </c>
      <c r="I37" s="6">
        <v>54.35</v>
      </c>
      <c r="K37" s="6">
        <v>3435</v>
      </c>
      <c r="L37" s="6">
        <v>55.66</v>
      </c>
      <c r="N37" s="6">
        <v>4292</v>
      </c>
      <c r="O37" s="6">
        <v>57.5</v>
      </c>
      <c r="Q37" s="6">
        <v>5446</v>
      </c>
      <c r="R37" s="6">
        <v>57.54</v>
      </c>
      <c r="T37" s="6">
        <v>4521</v>
      </c>
      <c r="U37" s="6">
        <v>57.56</v>
      </c>
      <c r="W37" s="6">
        <v>6039</v>
      </c>
      <c r="X37" s="6">
        <v>58.03</v>
      </c>
      <c r="Z37" s="6">
        <v>4737</v>
      </c>
      <c r="AA37" s="6">
        <v>58.09</v>
      </c>
      <c r="AC37" s="6">
        <v>3086</v>
      </c>
      <c r="AD37" s="6">
        <v>57.6</v>
      </c>
      <c r="AF37" s="6">
        <v>4959</v>
      </c>
      <c r="AG37" s="6">
        <v>57.54</v>
      </c>
      <c r="AI37" s="18">
        <v>5965</v>
      </c>
      <c r="AJ37" s="18">
        <v>56.64</v>
      </c>
      <c r="AL37" s="6">
        <v>5424</v>
      </c>
      <c r="AM37" s="6">
        <v>57.71</v>
      </c>
      <c r="AO37" s="6">
        <v>5603</v>
      </c>
      <c r="AP37" s="6">
        <v>57.65</v>
      </c>
      <c r="AR37" s="6">
        <v>4606</v>
      </c>
      <c r="AS37" s="6">
        <v>57.49</v>
      </c>
      <c r="AX37" s="6">
        <v>4411</v>
      </c>
      <c r="AY37" s="6">
        <v>57.54</v>
      </c>
      <c r="DO37" s="6">
        <v>4253</v>
      </c>
      <c r="DP37" s="6">
        <v>56.39</v>
      </c>
      <c r="EG37" s="28"/>
      <c r="ES37" s="21">
        <v>3621</v>
      </c>
      <c r="ET37" s="25">
        <v>55.62</v>
      </c>
      <c r="EV37" s="6">
        <f t="shared" si="0"/>
        <v>4175</v>
      </c>
      <c r="EW37" s="25">
        <v>57.1</v>
      </c>
      <c r="EY37" s="6">
        <f t="shared" si="1"/>
        <v>3771</v>
      </c>
      <c r="EZ37" s="25">
        <v>56.36</v>
      </c>
    </row>
    <row r="38" spans="2:156" x14ac:dyDescent="0.35">
      <c r="B38" s="38">
        <v>3910</v>
      </c>
      <c r="C38" s="38">
        <v>57.51</v>
      </c>
      <c r="E38" s="6">
        <v>3186</v>
      </c>
      <c r="F38" s="6">
        <v>56.13</v>
      </c>
      <c r="G38" s="11"/>
      <c r="H38" s="6">
        <v>3639</v>
      </c>
      <c r="I38" s="6">
        <v>54.47</v>
      </c>
      <c r="K38" s="6">
        <v>3631</v>
      </c>
      <c r="L38" s="6">
        <v>56.31</v>
      </c>
      <c r="N38" s="6">
        <v>4501</v>
      </c>
      <c r="O38" s="6">
        <v>57.5</v>
      </c>
      <c r="Q38" s="6">
        <v>5772</v>
      </c>
      <c r="R38" s="6">
        <v>57.33</v>
      </c>
      <c r="T38" s="6">
        <v>4732</v>
      </c>
      <c r="U38" s="6">
        <v>57.96</v>
      </c>
      <c r="W38" s="6">
        <v>6218</v>
      </c>
      <c r="X38" s="6">
        <v>57.52</v>
      </c>
      <c r="Z38" s="6">
        <v>4913</v>
      </c>
      <c r="AA38" s="6">
        <v>57.65</v>
      </c>
      <c r="AC38" s="6">
        <v>3173</v>
      </c>
      <c r="AD38" s="6">
        <v>57.5</v>
      </c>
      <c r="AF38" s="6">
        <v>5132</v>
      </c>
      <c r="AG38" s="6">
        <v>57.5</v>
      </c>
      <c r="AH38" s="13" t="s">
        <v>54</v>
      </c>
      <c r="AI38" s="20">
        <v>6239</v>
      </c>
      <c r="AJ38" s="20">
        <v>57.17</v>
      </c>
      <c r="AL38" s="6">
        <v>5770</v>
      </c>
      <c r="AM38" s="6">
        <v>57.92</v>
      </c>
      <c r="AO38" s="6">
        <v>5639</v>
      </c>
      <c r="AP38" s="6">
        <v>57.92</v>
      </c>
      <c r="AR38" s="6">
        <v>4790</v>
      </c>
      <c r="AS38" s="6">
        <v>57.5</v>
      </c>
      <c r="AX38" s="6">
        <v>4466</v>
      </c>
      <c r="AY38" s="6">
        <v>57.65</v>
      </c>
      <c r="DO38" s="6">
        <v>4395</v>
      </c>
      <c r="DP38" s="6">
        <v>56.32</v>
      </c>
      <c r="EG38" s="28"/>
      <c r="ES38" s="21">
        <v>3829</v>
      </c>
      <c r="ET38" s="25">
        <v>56.62</v>
      </c>
      <c r="EU38" s="19" t="s">
        <v>54</v>
      </c>
      <c r="EV38" s="36">
        <f t="shared" si="0"/>
        <v>4712</v>
      </c>
      <c r="EW38" s="36">
        <v>51.17</v>
      </c>
      <c r="EY38" s="6">
        <f t="shared" si="1"/>
        <v>3863</v>
      </c>
      <c r="EZ38" s="25">
        <v>56.39</v>
      </c>
    </row>
    <row r="39" spans="2:156" x14ac:dyDescent="0.35">
      <c r="B39" s="38">
        <v>4078</v>
      </c>
      <c r="C39" s="38">
        <v>57.44</v>
      </c>
      <c r="E39" s="6">
        <v>3267</v>
      </c>
      <c r="F39" s="6">
        <v>56.28</v>
      </c>
      <c r="G39" s="11"/>
      <c r="H39" s="6">
        <v>3737</v>
      </c>
      <c r="I39" s="6">
        <v>54.2</v>
      </c>
      <c r="K39" s="6">
        <v>4059</v>
      </c>
      <c r="L39" s="6">
        <v>57.82</v>
      </c>
      <c r="N39" s="6">
        <v>4584</v>
      </c>
      <c r="O39" s="6">
        <v>57.5</v>
      </c>
      <c r="Q39" s="6">
        <v>5962</v>
      </c>
      <c r="R39" s="6">
        <v>57.6</v>
      </c>
      <c r="T39" s="6">
        <v>4824</v>
      </c>
      <c r="U39" s="6">
        <v>57.51</v>
      </c>
      <c r="W39" s="6">
        <v>6454</v>
      </c>
      <c r="X39" s="6">
        <v>57.52</v>
      </c>
      <c r="Z39" s="6">
        <v>5134</v>
      </c>
      <c r="AA39" s="6">
        <v>57.49</v>
      </c>
      <c r="AC39" s="6">
        <v>3274</v>
      </c>
      <c r="AD39" s="6">
        <v>57.52</v>
      </c>
      <c r="AF39" s="6">
        <v>5468</v>
      </c>
      <c r="AG39" s="6">
        <v>57.51</v>
      </c>
      <c r="AL39" s="6">
        <v>5839</v>
      </c>
      <c r="AM39" s="6">
        <v>58.04</v>
      </c>
      <c r="AO39" s="6">
        <v>5955</v>
      </c>
      <c r="AP39" s="6">
        <v>56.67</v>
      </c>
      <c r="AR39" s="6">
        <v>4927</v>
      </c>
      <c r="AS39" s="6">
        <v>57.43</v>
      </c>
      <c r="AX39" s="6">
        <v>4499</v>
      </c>
      <c r="AY39" s="6">
        <v>57.92</v>
      </c>
      <c r="DO39" s="6">
        <v>4576</v>
      </c>
      <c r="DP39" s="6">
        <v>56.24</v>
      </c>
      <c r="EG39" s="28"/>
      <c r="ES39" s="21">
        <v>3899</v>
      </c>
      <c r="ET39" s="25">
        <v>56.7</v>
      </c>
      <c r="EY39" s="6">
        <f t="shared" si="1"/>
        <v>3944</v>
      </c>
      <c r="EZ39" s="25">
        <v>56.42</v>
      </c>
    </row>
    <row r="40" spans="2:156" x14ac:dyDescent="0.35">
      <c r="B40" s="38">
        <v>4268</v>
      </c>
      <c r="C40" s="38">
        <v>57.53</v>
      </c>
      <c r="E40" s="6">
        <v>3306</v>
      </c>
      <c r="F40" s="6">
        <v>55.92</v>
      </c>
      <c r="G40" s="11"/>
      <c r="H40" s="6">
        <v>3832</v>
      </c>
      <c r="I40" s="6">
        <v>54.73</v>
      </c>
      <c r="K40" s="6">
        <v>4378</v>
      </c>
      <c r="L40" s="6">
        <v>57.62</v>
      </c>
      <c r="N40" s="6">
        <v>5014</v>
      </c>
      <c r="O40" s="6">
        <v>57.19</v>
      </c>
      <c r="Q40" s="6">
        <v>6316</v>
      </c>
      <c r="R40" s="6">
        <v>57.54</v>
      </c>
      <c r="T40" s="6">
        <v>4940</v>
      </c>
      <c r="U40" s="6">
        <v>57.63</v>
      </c>
      <c r="W40" s="6">
        <v>6682</v>
      </c>
      <c r="X40" s="6">
        <v>57.49</v>
      </c>
      <c r="Z40" s="6">
        <v>5314</v>
      </c>
      <c r="AA40" s="6">
        <v>57.5</v>
      </c>
      <c r="AC40" s="6">
        <v>3339</v>
      </c>
      <c r="AD40" s="6">
        <v>57.52</v>
      </c>
      <c r="AF40" s="6">
        <v>5705</v>
      </c>
      <c r="AG40" s="6">
        <v>57.79</v>
      </c>
      <c r="AK40" s="19" t="s">
        <v>54</v>
      </c>
      <c r="AL40" s="9">
        <v>6186</v>
      </c>
      <c r="AM40" s="9">
        <v>57.64</v>
      </c>
      <c r="AN40" s="13" t="s">
        <v>54</v>
      </c>
      <c r="AO40" s="15">
        <v>6036</v>
      </c>
      <c r="AP40" s="15">
        <v>57.64</v>
      </c>
      <c r="AR40" s="6">
        <v>5160</v>
      </c>
      <c r="AS40" s="6">
        <v>58</v>
      </c>
      <c r="AX40" s="6">
        <v>4769</v>
      </c>
      <c r="AY40" s="6">
        <v>56.64</v>
      </c>
      <c r="DO40" s="6">
        <v>4820</v>
      </c>
      <c r="DP40" s="6">
        <v>56.42</v>
      </c>
      <c r="EG40" s="28"/>
      <c r="ES40" s="21">
        <v>3989</v>
      </c>
      <c r="ET40" s="25">
        <v>56.42</v>
      </c>
      <c r="EY40" s="6">
        <f>EM28-$EM$6+$EY$18</f>
        <v>4230</v>
      </c>
      <c r="EZ40" s="25">
        <v>56.33</v>
      </c>
    </row>
    <row r="41" spans="2:156" x14ac:dyDescent="0.35">
      <c r="B41" s="38">
        <v>4359</v>
      </c>
      <c r="C41" s="38">
        <v>57.5</v>
      </c>
      <c r="E41" s="6">
        <v>3342</v>
      </c>
      <c r="F41" s="6">
        <v>57.51</v>
      </c>
      <c r="G41" s="11"/>
      <c r="H41" s="6">
        <v>3899</v>
      </c>
      <c r="I41" s="6">
        <v>55.11</v>
      </c>
      <c r="K41" s="6">
        <v>4445</v>
      </c>
      <c r="L41" s="6">
        <v>57.8</v>
      </c>
      <c r="N41" s="6">
        <v>5255</v>
      </c>
      <c r="O41" s="6">
        <v>57.7</v>
      </c>
      <c r="Q41" s="6">
        <v>6574</v>
      </c>
      <c r="R41" s="6">
        <v>57.43</v>
      </c>
      <c r="T41" s="6">
        <v>5212</v>
      </c>
      <c r="U41" s="6">
        <v>57.54</v>
      </c>
      <c r="W41" s="6">
        <v>7128</v>
      </c>
      <c r="X41" s="6">
        <v>57.92</v>
      </c>
      <c r="Z41" s="6">
        <v>5629</v>
      </c>
      <c r="AA41" s="6">
        <v>57.71</v>
      </c>
      <c r="AC41" s="6">
        <v>3438</v>
      </c>
      <c r="AD41" s="6">
        <v>57.56</v>
      </c>
      <c r="AF41" s="6">
        <v>5719</v>
      </c>
      <c r="AG41" s="6">
        <v>57.69</v>
      </c>
      <c r="AR41" s="6">
        <v>5501</v>
      </c>
      <c r="AS41" s="6">
        <v>57.56</v>
      </c>
      <c r="AW41" s="19" t="s">
        <v>54</v>
      </c>
      <c r="AX41" s="9">
        <v>5049</v>
      </c>
      <c r="AY41" s="9">
        <v>57.17</v>
      </c>
      <c r="DO41" s="6">
        <v>5031</v>
      </c>
      <c r="DP41" s="6">
        <v>57.71</v>
      </c>
      <c r="EG41" s="28"/>
      <c r="ES41" s="21">
        <v>4084</v>
      </c>
      <c r="ET41" s="25">
        <v>56.55</v>
      </c>
      <c r="EY41" s="6">
        <f t="shared" si="1"/>
        <v>4384</v>
      </c>
      <c r="EZ41" s="6">
        <v>56.42</v>
      </c>
    </row>
    <row r="42" spans="2:156" x14ac:dyDescent="0.35">
      <c r="B42" s="38">
        <v>4476</v>
      </c>
      <c r="C42" s="38">
        <v>57.53</v>
      </c>
      <c r="E42" s="6">
        <v>3372</v>
      </c>
      <c r="F42" s="6">
        <v>56.28</v>
      </c>
      <c r="G42" s="11"/>
      <c r="H42" s="6">
        <v>3947</v>
      </c>
      <c r="I42" s="6">
        <v>54.76</v>
      </c>
      <c r="K42" s="6">
        <v>4545</v>
      </c>
      <c r="L42" s="6">
        <v>57.69</v>
      </c>
      <c r="N42" s="6">
        <v>5479</v>
      </c>
      <c r="O42" s="6">
        <v>57.6</v>
      </c>
      <c r="Q42" s="6">
        <v>6894</v>
      </c>
      <c r="R42" s="6">
        <v>58.03</v>
      </c>
      <c r="T42" s="6">
        <v>5182</v>
      </c>
      <c r="U42" s="6">
        <v>57.38</v>
      </c>
      <c r="W42" s="6">
        <v>7401</v>
      </c>
      <c r="X42" s="6">
        <v>56.64</v>
      </c>
      <c r="Z42" s="6">
        <v>5754</v>
      </c>
      <c r="AA42" s="6">
        <v>58.03</v>
      </c>
      <c r="AC42" s="6">
        <v>3526</v>
      </c>
      <c r="AD42" s="6">
        <v>57.54</v>
      </c>
      <c r="AF42" s="6">
        <v>5871</v>
      </c>
      <c r="AG42" s="6">
        <v>56.58</v>
      </c>
      <c r="AR42" s="6">
        <v>5595</v>
      </c>
      <c r="AS42" s="6">
        <v>56.11</v>
      </c>
      <c r="DO42" s="6">
        <v>5173</v>
      </c>
      <c r="DP42" s="6">
        <v>57.1</v>
      </c>
      <c r="EG42" s="28"/>
      <c r="ES42" s="21">
        <v>4184</v>
      </c>
      <c r="ET42" s="25">
        <v>56.54</v>
      </c>
      <c r="EY42" s="6">
        <f t="shared" si="1"/>
        <v>4748</v>
      </c>
      <c r="EZ42" s="25">
        <v>57.1</v>
      </c>
    </row>
    <row r="43" spans="2:156" x14ac:dyDescent="0.35">
      <c r="B43" s="38">
        <v>4525</v>
      </c>
      <c r="C43" s="38">
        <v>58.18</v>
      </c>
      <c r="E43" s="6">
        <v>3558</v>
      </c>
      <c r="F43" s="6">
        <v>56.04</v>
      </c>
      <c r="G43" s="11"/>
      <c r="H43" s="6">
        <v>4002</v>
      </c>
      <c r="I43" s="6">
        <v>56.01</v>
      </c>
      <c r="K43" s="6">
        <v>4741</v>
      </c>
      <c r="L43" s="6">
        <v>57.74</v>
      </c>
      <c r="N43" s="6">
        <v>5591</v>
      </c>
      <c r="O43" s="6">
        <v>56.59</v>
      </c>
      <c r="Q43" s="6">
        <v>7165</v>
      </c>
      <c r="R43" s="6">
        <v>57.56</v>
      </c>
      <c r="T43" s="6">
        <v>5545</v>
      </c>
      <c r="U43" s="6">
        <v>57.33</v>
      </c>
      <c r="V43" s="13" t="s">
        <v>54</v>
      </c>
      <c r="W43" s="15">
        <v>7672</v>
      </c>
      <c r="X43" s="15">
        <v>57.17</v>
      </c>
      <c r="Z43" s="6">
        <v>6254</v>
      </c>
      <c r="AA43" s="6">
        <v>57.5</v>
      </c>
      <c r="AC43" s="6">
        <v>3644</v>
      </c>
      <c r="AD43" s="6">
        <v>57.56</v>
      </c>
      <c r="AF43" s="6">
        <v>5944</v>
      </c>
      <c r="AG43" s="6">
        <v>56.33</v>
      </c>
      <c r="AR43" s="6">
        <v>5747</v>
      </c>
      <c r="AS43" s="6">
        <v>57.5</v>
      </c>
      <c r="DO43" s="6">
        <v>5415</v>
      </c>
      <c r="DP43" s="6">
        <v>57.08</v>
      </c>
      <c r="EG43" s="28"/>
      <c r="ER43" s="28"/>
      <c r="ES43" s="21">
        <v>4450</v>
      </c>
      <c r="ET43" s="25">
        <v>56.69</v>
      </c>
      <c r="EX43" s="13" t="s">
        <v>54</v>
      </c>
      <c r="EY43" s="15">
        <f t="shared" si="1"/>
        <v>5285</v>
      </c>
      <c r="EZ43" s="15">
        <v>51.17</v>
      </c>
    </row>
    <row r="44" spans="2:156" x14ac:dyDescent="0.35">
      <c r="B44" s="38">
        <v>4714</v>
      </c>
      <c r="C44" s="38">
        <v>57.78</v>
      </c>
      <c r="E44" s="6">
        <v>3654</v>
      </c>
      <c r="F44" s="6">
        <v>56.79</v>
      </c>
      <c r="G44" s="11"/>
      <c r="H44" s="6">
        <v>4069</v>
      </c>
      <c r="I44" s="6">
        <v>54.92</v>
      </c>
      <c r="K44" s="6">
        <v>4826</v>
      </c>
      <c r="L44" s="6">
        <v>58.69</v>
      </c>
      <c r="N44" s="6">
        <v>5778</v>
      </c>
      <c r="O44" s="6">
        <v>57.85</v>
      </c>
      <c r="Q44" s="6">
        <v>7399</v>
      </c>
      <c r="R44" s="6">
        <v>57.5</v>
      </c>
      <c r="T44" s="6">
        <v>5702</v>
      </c>
      <c r="U44" s="6">
        <v>57.52</v>
      </c>
      <c r="Z44" s="6">
        <v>6515</v>
      </c>
      <c r="AA44" s="6">
        <v>57.71</v>
      </c>
      <c r="AC44" s="6">
        <v>3737</v>
      </c>
      <c r="AD44" s="6">
        <v>57.58</v>
      </c>
      <c r="AF44" s="6">
        <v>6123</v>
      </c>
      <c r="AG44" s="6">
        <v>56.48</v>
      </c>
      <c r="AR44" s="6">
        <v>5993</v>
      </c>
      <c r="AS44" s="6">
        <v>57.71</v>
      </c>
      <c r="DN44" s="13" t="s">
        <v>54</v>
      </c>
      <c r="DO44" s="15">
        <v>5506</v>
      </c>
      <c r="DP44" s="15">
        <v>57.64</v>
      </c>
      <c r="EG44" s="28"/>
      <c r="ER44" s="13" t="s">
        <v>54</v>
      </c>
      <c r="ES44" s="27">
        <v>4746</v>
      </c>
      <c r="ET44" s="15">
        <v>57.17</v>
      </c>
      <c r="EY44" s="28"/>
    </row>
    <row r="45" spans="2:156" x14ac:dyDescent="0.35">
      <c r="B45" s="38">
        <v>4787</v>
      </c>
      <c r="C45" s="38">
        <v>57.56</v>
      </c>
      <c r="E45" s="6">
        <v>3783</v>
      </c>
      <c r="F45" s="6">
        <v>56.55</v>
      </c>
      <c r="G45" s="11"/>
      <c r="H45" s="6">
        <v>4161</v>
      </c>
      <c r="I45" s="6">
        <v>56.13</v>
      </c>
      <c r="K45" s="6">
        <v>4848</v>
      </c>
      <c r="L45" s="6">
        <v>58.01</v>
      </c>
      <c r="N45" s="6">
        <v>5990</v>
      </c>
      <c r="O45" s="6">
        <v>58.04</v>
      </c>
      <c r="Q45" s="6">
        <v>7654</v>
      </c>
      <c r="R45" s="6">
        <v>57.71</v>
      </c>
      <c r="T45" s="6">
        <v>5823</v>
      </c>
      <c r="U45" s="6">
        <v>57.65</v>
      </c>
      <c r="Z45" s="6">
        <v>6868</v>
      </c>
      <c r="AA45" s="6">
        <v>57.92</v>
      </c>
      <c r="AC45" s="6">
        <v>3817</v>
      </c>
      <c r="AD45" s="6">
        <v>57.32</v>
      </c>
      <c r="AE45" s="19" t="s">
        <v>54</v>
      </c>
      <c r="AF45" s="9">
        <v>6322</v>
      </c>
      <c r="AG45" s="9">
        <v>57.17</v>
      </c>
      <c r="AR45" s="6">
        <v>6324</v>
      </c>
      <c r="AS45" s="6">
        <v>57.65</v>
      </c>
      <c r="EG45" s="28"/>
      <c r="EY45" s="28"/>
    </row>
    <row r="46" spans="2:156" x14ac:dyDescent="0.35">
      <c r="B46" s="38">
        <v>4914</v>
      </c>
      <c r="C46" s="38">
        <v>57.6</v>
      </c>
      <c r="E46" s="6">
        <v>3876</v>
      </c>
      <c r="F46" s="6">
        <v>56.46</v>
      </c>
      <c r="G46" s="11"/>
      <c r="H46" s="6">
        <v>4242</v>
      </c>
      <c r="I46" s="6">
        <v>56.28</v>
      </c>
      <c r="K46" s="6">
        <v>4866</v>
      </c>
      <c r="L46" s="6">
        <v>58.56</v>
      </c>
      <c r="N46" s="6">
        <v>6160</v>
      </c>
      <c r="O46" s="6">
        <v>57.3</v>
      </c>
      <c r="Q46" s="6">
        <v>7984</v>
      </c>
      <c r="R46" s="6">
        <v>57.92</v>
      </c>
      <c r="T46" s="6">
        <v>5913</v>
      </c>
      <c r="U46" s="6">
        <v>57.56</v>
      </c>
      <c r="Z46" s="6">
        <v>6925</v>
      </c>
      <c r="AA46" s="6">
        <v>58.04</v>
      </c>
      <c r="AC46" s="6">
        <v>3913</v>
      </c>
      <c r="AD46" s="6">
        <v>57.28</v>
      </c>
      <c r="AR46" s="6">
        <v>6360</v>
      </c>
      <c r="AS46" s="6">
        <v>57.92</v>
      </c>
      <c r="EG46" s="28"/>
    </row>
    <row r="47" spans="2:156" x14ac:dyDescent="0.35">
      <c r="B47" s="38">
        <v>5000</v>
      </c>
      <c r="C47" s="38">
        <v>57.5</v>
      </c>
      <c r="E47" s="6">
        <v>3974</v>
      </c>
      <c r="F47" s="6">
        <v>58.84</v>
      </c>
      <c r="G47" s="11"/>
      <c r="H47" s="6">
        <v>4281</v>
      </c>
      <c r="I47" s="6">
        <v>55.92</v>
      </c>
      <c r="K47" s="6">
        <v>4885</v>
      </c>
      <c r="L47" s="6">
        <v>57.51</v>
      </c>
      <c r="N47" s="6">
        <v>6252</v>
      </c>
      <c r="O47" s="6">
        <v>58.1</v>
      </c>
      <c r="Q47" s="6">
        <v>8238</v>
      </c>
      <c r="R47" s="6">
        <v>56.64</v>
      </c>
      <c r="T47" s="6">
        <v>6048</v>
      </c>
      <c r="U47" s="6">
        <v>57.49</v>
      </c>
      <c r="Z47" s="6">
        <v>7196</v>
      </c>
      <c r="AA47" s="6">
        <v>56.67</v>
      </c>
      <c r="AC47" s="6">
        <v>4053</v>
      </c>
      <c r="AD47" s="6">
        <v>57.15</v>
      </c>
      <c r="AR47" s="6">
        <v>6676</v>
      </c>
      <c r="AS47" s="6">
        <v>56.67</v>
      </c>
      <c r="EG47" s="28"/>
    </row>
    <row r="48" spans="2:156" x14ac:dyDescent="0.35">
      <c r="B48" s="38">
        <v>5102</v>
      </c>
      <c r="C48" s="38">
        <v>57.52</v>
      </c>
      <c r="E48" s="6">
        <v>4069</v>
      </c>
      <c r="F48" s="6">
        <v>57.69</v>
      </c>
      <c r="G48" s="11"/>
      <c r="H48" s="6">
        <v>4317</v>
      </c>
      <c r="I48" s="6">
        <v>57.51</v>
      </c>
      <c r="K48" s="6">
        <v>5220</v>
      </c>
      <c r="L48" s="6">
        <v>57.56</v>
      </c>
      <c r="N48" s="6">
        <v>6435</v>
      </c>
      <c r="O48" s="6">
        <v>57.65</v>
      </c>
      <c r="P48" s="13" t="s">
        <v>54</v>
      </c>
      <c r="Q48" s="15">
        <v>8493</v>
      </c>
      <c r="R48" s="15">
        <v>57.17</v>
      </c>
      <c r="T48" s="6">
        <v>6231</v>
      </c>
      <c r="U48" s="6">
        <v>57.5</v>
      </c>
      <c r="Y48" s="19" t="s">
        <v>54</v>
      </c>
      <c r="Z48" s="9">
        <v>7276</v>
      </c>
      <c r="AA48" s="9">
        <v>57.64</v>
      </c>
      <c r="AC48" s="6">
        <v>4185</v>
      </c>
      <c r="AD48" s="6">
        <v>57.28</v>
      </c>
      <c r="AQ48" s="19" t="s">
        <v>54</v>
      </c>
      <c r="AR48" s="9">
        <v>6757</v>
      </c>
      <c r="AS48" s="9">
        <v>57.64</v>
      </c>
      <c r="EG48" s="28"/>
    </row>
    <row r="49" spans="2:137" x14ac:dyDescent="0.35">
      <c r="B49" s="38">
        <v>5165</v>
      </c>
      <c r="C49" s="38">
        <v>57.52</v>
      </c>
      <c r="E49" s="6">
        <v>4164</v>
      </c>
      <c r="F49" s="6">
        <v>57.6</v>
      </c>
      <c r="G49" s="11"/>
      <c r="H49" s="6">
        <v>4347</v>
      </c>
      <c r="I49" s="6">
        <v>56.28</v>
      </c>
      <c r="K49" s="6">
        <v>5344</v>
      </c>
      <c r="L49" s="6">
        <v>57.44</v>
      </c>
      <c r="N49" s="6">
        <v>6655</v>
      </c>
      <c r="O49" s="6">
        <v>57.49</v>
      </c>
      <c r="T49" s="6">
        <v>6365</v>
      </c>
      <c r="U49" s="6">
        <v>57.43</v>
      </c>
      <c r="AC49" s="6">
        <v>4242</v>
      </c>
      <c r="AD49" s="6">
        <v>57.18</v>
      </c>
      <c r="EG49" s="28"/>
    </row>
    <row r="50" spans="2:137" x14ac:dyDescent="0.35">
      <c r="B50" s="38">
        <v>5266</v>
      </c>
      <c r="C50" s="38">
        <v>57.56</v>
      </c>
      <c r="E50" s="6">
        <v>4263</v>
      </c>
      <c r="F50" s="6">
        <v>57.57</v>
      </c>
      <c r="G50" s="11"/>
      <c r="H50" s="6">
        <v>4533</v>
      </c>
      <c r="I50" s="6">
        <v>56.04</v>
      </c>
      <c r="K50" s="6">
        <v>5417</v>
      </c>
      <c r="L50" s="6">
        <v>57.5</v>
      </c>
      <c r="N50" s="6">
        <v>6840</v>
      </c>
      <c r="O50" s="6">
        <v>57.5</v>
      </c>
      <c r="T50" s="6">
        <v>6541</v>
      </c>
      <c r="U50" s="6">
        <v>57.71</v>
      </c>
      <c r="AC50" s="6">
        <v>4343</v>
      </c>
      <c r="AD50" s="6">
        <v>57.94</v>
      </c>
      <c r="EG50" s="28"/>
    </row>
    <row r="51" spans="2:137" x14ac:dyDescent="0.35">
      <c r="B51" s="38">
        <v>5356</v>
      </c>
      <c r="C51" s="38">
        <v>57.54</v>
      </c>
      <c r="E51" s="6">
        <v>4361</v>
      </c>
      <c r="F51" s="6">
        <v>57.5</v>
      </c>
      <c r="G51" s="11"/>
      <c r="H51" s="6">
        <v>4629</v>
      </c>
      <c r="I51" s="6">
        <v>56.79</v>
      </c>
      <c r="K51" s="6">
        <v>5479</v>
      </c>
      <c r="L51" s="6">
        <v>57.48</v>
      </c>
      <c r="N51" s="6">
        <v>6984</v>
      </c>
      <c r="O51" s="6">
        <v>57.43</v>
      </c>
      <c r="T51" s="6">
        <v>6668</v>
      </c>
      <c r="U51" s="6">
        <v>58.03</v>
      </c>
      <c r="AC51" s="6">
        <v>4513</v>
      </c>
      <c r="AD51" s="6">
        <v>57.81</v>
      </c>
      <c r="EG51" s="28"/>
    </row>
    <row r="52" spans="2:137" x14ac:dyDescent="0.35">
      <c r="B52" s="38">
        <v>5476</v>
      </c>
      <c r="C52" s="38">
        <v>57.56</v>
      </c>
      <c r="E52" s="6">
        <v>4460</v>
      </c>
      <c r="F52" s="6">
        <v>57.52</v>
      </c>
      <c r="G52" s="11"/>
      <c r="H52" s="6">
        <v>4758</v>
      </c>
      <c r="I52" s="6">
        <v>56.55</v>
      </c>
      <c r="K52" s="6">
        <v>5577</v>
      </c>
      <c r="L52" s="6">
        <v>57.5</v>
      </c>
      <c r="N52" s="6">
        <v>7128</v>
      </c>
      <c r="O52" s="6">
        <v>58.23</v>
      </c>
      <c r="T52" s="6">
        <v>6843</v>
      </c>
      <c r="U52" s="6">
        <v>57.49</v>
      </c>
      <c r="AC52" s="6">
        <v>4581</v>
      </c>
      <c r="AD52" s="6">
        <v>57.61</v>
      </c>
      <c r="EG52" s="28"/>
    </row>
    <row r="53" spans="2:137" x14ac:dyDescent="0.35">
      <c r="B53" s="38">
        <v>5570</v>
      </c>
      <c r="C53" s="38">
        <v>57.58</v>
      </c>
      <c r="E53" s="6">
        <v>4552</v>
      </c>
      <c r="F53" s="6">
        <v>57.57</v>
      </c>
      <c r="G53" s="11"/>
      <c r="H53" s="6">
        <v>4851</v>
      </c>
      <c r="I53" s="6">
        <v>56.46</v>
      </c>
      <c r="K53" s="6">
        <v>5663</v>
      </c>
      <c r="L53" s="6">
        <v>57.6</v>
      </c>
      <c r="N53" s="6">
        <v>7271</v>
      </c>
      <c r="O53" s="6">
        <v>58.03</v>
      </c>
      <c r="T53" s="6">
        <v>7018</v>
      </c>
      <c r="U53" s="6">
        <v>57.5</v>
      </c>
      <c r="AC53" s="6">
        <v>4682</v>
      </c>
      <c r="AD53" s="6">
        <v>57.74</v>
      </c>
      <c r="EG53" s="28"/>
    </row>
    <row r="54" spans="2:137" x14ac:dyDescent="0.35">
      <c r="B54" s="38">
        <v>5650</v>
      </c>
      <c r="C54" s="38">
        <v>57.32</v>
      </c>
      <c r="E54" s="6">
        <v>4580</v>
      </c>
      <c r="F54" s="6">
        <v>57.79</v>
      </c>
      <c r="G54" s="11"/>
      <c r="H54" s="6">
        <v>4949</v>
      </c>
      <c r="I54" s="6">
        <v>58.84</v>
      </c>
      <c r="K54" s="6">
        <v>5782</v>
      </c>
      <c r="L54" s="6">
        <v>57.5</v>
      </c>
      <c r="N54" s="6">
        <v>7622</v>
      </c>
      <c r="O54" s="6">
        <v>57.5</v>
      </c>
      <c r="T54" s="6">
        <v>7173</v>
      </c>
      <c r="U54" s="6">
        <v>57.5</v>
      </c>
      <c r="AC54" s="6">
        <v>4740</v>
      </c>
      <c r="AD54" s="6">
        <v>57.6</v>
      </c>
    </row>
    <row r="55" spans="2:137" x14ac:dyDescent="0.35">
      <c r="B55" s="38">
        <v>5742</v>
      </c>
      <c r="C55" s="38">
        <v>57.26</v>
      </c>
      <c r="E55" s="6">
        <v>4659</v>
      </c>
      <c r="F55" s="6">
        <v>57.74</v>
      </c>
      <c r="G55" s="11"/>
      <c r="H55" s="6">
        <v>5044</v>
      </c>
      <c r="I55" s="6">
        <v>57.69</v>
      </c>
      <c r="K55" s="6">
        <v>5898</v>
      </c>
      <c r="L55" s="6">
        <v>57.5</v>
      </c>
      <c r="N55" s="6">
        <v>7920</v>
      </c>
      <c r="O55" s="6">
        <v>57.54</v>
      </c>
      <c r="T55" s="6">
        <v>7321</v>
      </c>
      <c r="U55" s="6">
        <v>57.54</v>
      </c>
      <c r="AC55" s="6">
        <v>4804</v>
      </c>
      <c r="AD55" s="6">
        <v>57.63</v>
      </c>
    </row>
    <row r="56" spans="2:137" x14ac:dyDescent="0.35">
      <c r="B56" s="38">
        <v>5909</v>
      </c>
      <c r="C56" s="38">
        <v>57.16</v>
      </c>
      <c r="E56" s="6">
        <v>4845</v>
      </c>
      <c r="F56" s="6">
        <v>58.18</v>
      </c>
      <c r="G56" s="11"/>
      <c r="H56" s="6">
        <v>5139</v>
      </c>
      <c r="I56" s="6">
        <v>57.6</v>
      </c>
      <c r="K56" s="6">
        <v>5965</v>
      </c>
      <c r="L56" s="6">
        <v>57.3</v>
      </c>
      <c r="N56" s="6">
        <v>8318</v>
      </c>
      <c r="O56" s="6">
        <v>57.65</v>
      </c>
      <c r="T56" s="6">
        <v>7731</v>
      </c>
      <c r="U56" s="6">
        <v>57.65</v>
      </c>
      <c r="AC56" s="6">
        <v>4898</v>
      </c>
      <c r="AD56" s="6">
        <v>57.54</v>
      </c>
    </row>
    <row r="57" spans="2:137" x14ac:dyDescent="0.35">
      <c r="B57" s="38">
        <v>6045</v>
      </c>
      <c r="C57" s="38">
        <v>57.31</v>
      </c>
      <c r="E57" s="6">
        <v>4924</v>
      </c>
      <c r="F57" s="6">
        <v>57.92</v>
      </c>
      <c r="G57" s="11"/>
      <c r="H57" s="6">
        <v>5238</v>
      </c>
      <c r="I57" s="6">
        <v>57.57</v>
      </c>
      <c r="K57" s="6">
        <v>6260</v>
      </c>
      <c r="L57" s="6">
        <v>57.37</v>
      </c>
      <c r="N57" s="6">
        <v>8417</v>
      </c>
      <c r="O57" s="6">
        <v>58.04</v>
      </c>
      <c r="T57" s="6">
        <v>7841</v>
      </c>
      <c r="U57" s="6">
        <v>58.04</v>
      </c>
      <c r="AC57" s="6">
        <v>4981</v>
      </c>
      <c r="AD57" s="6">
        <v>57.58</v>
      </c>
    </row>
    <row r="58" spans="2:137" x14ac:dyDescent="0.35">
      <c r="B58" s="38">
        <v>6188</v>
      </c>
      <c r="C58" s="38">
        <v>57.98</v>
      </c>
      <c r="E58" s="6">
        <v>5036</v>
      </c>
      <c r="F58" s="6">
        <v>57.59</v>
      </c>
      <c r="G58" s="11"/>
      <c r="H58" s="6">
        <v>5336</v>
      </c>
      <c r="I58" s="6">
        <v>57.5</v>
      </c>
      <c r="K58" s="6">
        <v>6370</v>
      </c>
      <c r="L58" s="6">
        <v>57.56</v>
      </c>
      <c r="N58" s="6">
        <v>8621</v>
      </c>
      <c r="O58" s="6">
        <v>56.64</v>
      </c>
      <c r="T58" s="6">
        <v>8037</v>
      </c>
      <c r="U58" s="6">
        <v>56.64</v>
      </c>
      <c r="AC58" s="6">
        <v>5058</v>
      </c>
      <c r="AD58" s="6">
        <v>58.14</v>
      </c>
    </row>
    <row r="59" spans="2:137" x14ac:dyDescent="0.35">
      <c r="B59" s="38">
        <v>6642</v>
      </c>
      <c r="C59" s="38">
        <v>57.63</v>
      </c>
      <c r="E59" s="6">
        <v>5131</v>
      </c>
      <c r="F59" s="6">
        <v>57.56</v>
      </c>
      <c r="G59" s="11"/>
      <c r="H59" s="6">
        <v>5435</v>
      </c>
      <c r="I59" s="6">
        <v>57.52</v>
      </c>
      <c r="K59" s="6">
        <v>6581</v>
      </c>
      <c r="L59" s="6">
        <v>57.96</v>
      </c>
      <c r="M59" s="19" t="s">
        <v>54</v>
      </c>
      <c r="N59" s="9">
        <v>8909</v>
      </c>
      <c r="O59" s="9">
        <v>57.17</v>
      </c>
      <c r="S59" s="19" t="s">
        <v>54</v>
      </c>
      <c r="T59" s="12">
        <v>8295</v>
      </c>
      <c r="U59" s="12">
        <v>57.17</v>
      </c>
      <c r="AC59" s="6">
        <v>5247</v>
      </c>
      <c r="AD59" s="6">
        <v>57.38</v>
      </c>
    </row>
    <row r="60" spans="2:137" x14ac:dyDescent="0.35">
      <c r="B60" s="38">
        <v>6819</v>
      </c>
      <c r="C60" s="38">
        <v>57.58</v>
      </c>
      <c r="E60" s="6">
        <v>5221</v>
      </c>
      <c r="F60" s="6">
        <v>57.6</v>
      </c>
      <c r="G60" s="11"/>
      <c r="H60" s="6">
        <v>5527</v>
      </c>
      <c r="I60" s="6">
        <v>57.57</v>
      </c>
      <c r="K60" s="6">
        <v>6673</v>
      </c>
      <c r="L60" s="6">
        <v>57.51</v>
      </c>
      <c r="AC60" s="6">
        <v>5339</v>
      </c>
      <c r="AD60" s="6">
        <v>57.33</v>
      </c>
    </row>
    <row r="61" spans="2:137" x14ac:dyDescent="0.35">
      <c r="B61" s="38">
        <v>6894</v>
      </c>
      <c r="C61" s="38">
        <v>57.86</v>
      </c>
      <c r="E61" s="6">
        <v>5381</v>
      </c>
      <c r="F61" s="6">
        <v>57.57</v>
      </c>
      <c r="G61" s="11"/>
      <c r="H61" s="6">
        <v>5555</v>
      </c>
      <c r="I61" s="6">
        <v>57.79</v>
      </c>
      <c r="K61" s="6">
        <v>6789</v>
      </c>
      <c r="L61" s="6">
        <v>57.63</v>
      </c>
      <c r="AC61" s="6">
        <v>5434</v>
      </c>
      <c r="AD61" s="6">
        <v>58.5</v>
      </c>
    </row>
    <row r="62" spans="2:137" x14ac:dyDescent="0.35">
      <c r="B62" s="38">
        <v>6951</v>
      </c>
      <c r="C62" s="38">
        <v>58.1</v>
      </c>
      <c r="E62" s="6">
        <v>5585</v>
      </c>
      <c r="F62" s="6">
        <v>57.58</v>
      </c>
      <c r="G62" s="11"/>
      <c r="H62" s="6">
        <v>5634</v>
      </c>
      <c r="I62" s="6">
        <v>57.74</v>
      </c>
      <c r="K62" s="6">
        <v>7061</v>
      </c>
      <c r="L62" s="6">
        <v>57.54</v>
      </c>
      <c r="AC62" s="6">
        <v>5532</v>
      </c>
      <c r="AD62" s="6">
        <v>57.6</v>
      </c>
    </row>
    <row r="63" spans="2:137" x14ac:dyDescent="0.35">
      <c r="B63" s="38">
        <v>7070</v>
      </c>
      <c r="C63" s="38">
        <v>58.51</v>
      </c>
      <c r="E63" s="6">
        <v>5682</v>
      </c>
      <c r="F63" s="6">
        <v>57.59</v>
      </c>
      <c r="G63" s="11"/>
      <c r="H63" s="6">
        <v>5820</v>
      </c>
      <c r="I63" s="6">
        <v>58.18</v>
      </c>
      <c r="K63" s="6">
        <v>7031</v>
      </c>
      <c r="L63" s="6">
        <v>57.38</v>
      </c>
      <c r="AC63" s="6">
        <v>5616</v>
      </c>
      <c r="AD63" s="6">
        <v>57.65</v>
      </c>
    </row>
    <row r="64" spans="2:137" x14ac:dyDescent="0.35">
      <c r="B64" s="38">
        <v>7339</v>
      </c>
      <c r="C64" s="38">
        <v>57.62</v>
      </c>
      <c r="E64" s="6">
        <v>5769</v>
      </c>
      <c r="F64" s="6">
        <v>57.32</v>
      </c>
      <c r="G64" s="11"/>
      <c r="H64" s="6">
        <v>5899</v>
      </c>
      <c r="I64" s="6">
        <v>57.92</v>
      </c>
      <c r="K64" s="6">
        <v>7394</v>
      </c>
      <c r="L64" s="6">
        <v>57.33</v>
      </c>
      <c r="AC64" s="6">
        <v>5705</v>
      </c>
      <c r="AD64" s="6">
        <v>57.56</v>
      </c>
    </row>
    <row r="65" spans="2:30" x14ac:dyDescent="0.35">
      <c r="B65" s="38">
        <v>7384</v>
      </c>
      <c r="C65" s="38">
        <v>57.83</v>
      </c>
      <c r="E65" s="6">
        <v>5869</v>
      </c>
      <c r="F65" s="6">
        <v>57.17</v>
      </c>
      <c r="G65" s="11"/>
      <c r="H65" s="6">
        <v>6011</v>
      </c>
      <c r="I65" s="6">
        <v>57.59</v>
      </c>
      <c r="K65" s="6">
        <v>7551</v>
      </c>
      <c r="L65" s="6">
        <v>57.52</v>
      </c>
      <c r="AC65" s="6">
        <v>5832</v>
      </c>
      <c r="AD65" s="6">
        <v>57.49</v>
      </c>
    </row>
    <row r="66" spans="2:30" x14ac:dyDescent="0.35">
      <c r="B66" s="38">
        <v>7596</v>
      </c>
      <c r="C66" s="38">
        <v>57.78</v>
      </c>
      <c r="E66" s="6">
        <v>5978</v>
      </c>
      <c r="F66" s="6">
        <v>57.53</v>
      </c>
      <c r="G66" s="11"/>
      <c r="H66" s="6">
        <v>6106</v>
      </c>
      <c r="I66" s="6">
        <v>57.56</v>
      </c>
      <c r="K66" s="6">
        <v>7672</v>
      </c>
      <c r="L66" s="6">
        <v>57.65</v>
      </c>
      <c r="AC66" s="6">
        <v>5991</v>
      </c>
      <c r="AD66" s="6">
        <v>57.62</v>
      </c>
    </row>
    <row r="67" spans="2:30" x14ac:dyDescent="0.35">
      <c r="B67" s="38">
        <v>7737</v>
      </c>
      <c r="C67" s="38">
        <v>57.56</v>
      </c>
      <c r="E67" s="6">
        <v>6168</v>
      </c>
      <c r="F67" s="6">
        <v>57.89</v>
      </c>
      <c r="G67" s="11"/>
      <c r="H67" s="6">
        <v>6196</v>
      </c>
      <c r="I67" s="6">
        <v>57.6</v>
      </c>
      <c r="K67" s="6">
        <v>7762</v>
      </c>
      <c r="L67" s="6">
        <v>57.56</v>
      </c>
      <c r="AC67" s="6">
        <v>6141</v>
      </c>
      <c r="AD67" s="6">
        <v>57.43</v>
      </c>
    </row>
    <row r="68" spans="2:30" x14ac:dyDescent="0.35">
      <c r="B68" s="38">
        <v>7811</v>
      </c>
      <c r="C68" s="38">
        <v>57.58</v>
      </c>
      <c r="E68" s="6">
        <v>6425</v>
      </c>
      <c r="F68" s="6">
        <v>58.66</v>
      </c>
      <c r="G68" s="11"/>
      <c r="H68" s="6">
        <v>6356</v>
      </c>
      <c r="I68" s="6">
        <v>57.57</v>
      </c>
      <c r="K68" s="6">
        <v>7897</v>
      </c>
      <c r="L68" s="6">
        <v>57.49</v>
      </c>
      <c r="AC68" s="6">
        <v>6319</v>
      </c>
      <c r="AD68" s="6">
        <v>58.18</v>
      </c>
    </row>
    <row r="69" spans="2:30" x14ac:dyDescent="0.35">
      <c r="B69" s="38">
        <v>7895</v>
      </c>
      <c r="C69" s="38">
        <v>57.5</v>
      </c>
      <c r="E69" s="6">
        <v>6633</v>
      </c>
      <c r="F69" s="6">
        <v>57.5</v>
      </c>
      <c r="G69" s="11"/>
      <c r="H69" s="6">
        <v>6560</v>
      </c>
      <c r="I69" s="6">
        <v>57.58</v>
      </c>
      <c r="K69" s="6">
        <v>8080</v>
      </c>
      <c r="L69" s="6">
        <v>57.5</v>
      </c>
      <c r="AC69" s="6">
        <v>6325</v>
      </c>
      <c r="AD69" s="6">
        <v>57.71</v>
      </c>
    </row>
    <row r="70" spans="2:30" x14ac:dyDescent="0.35">
      <c r="B70" s="38">
        <v>7969</v>
      </c>
      <c r="C70" s="38">
        <v>57.73</v>
      </c>
      <c r="E70" s="6">
        <v>6687</v>
      </c>
      <c r="F70" s="6">
        <v>57.26</v>
      </c>
      <c r="G70" s="11"/>
      <c r="H70" s="6">
        <v>6657</v>
      </c>
      <c r="I70" s="6">
        <v>57.59</v>
      </c>
      <c r="K70" s="6">
        <v>8214</v>
      </c>
      <c r="L70" s="6">
        <v>57.43</v>
      </c>
      <c r="AC70" s="6">
        <v>6393</v>
      </c>
      <c r="AD70" s="6">
        <v>58</v>
      </c>
    </row>
    <row r="71" spans="2:30" x14ac:dyDescent="0.35">
      <c r="B71" s="38">
        <v>8113</v>
      </c>
      <c r="C71" s="38">
        <v>57.68</v>
      </c>
      <c r="E71" s="6">
        <v>6754</v>
      </c>
      <c r="F71" s="6">
        <v>57.2</v>
      </c>
      <c r="G71" s="11"/>
      <c r="H71" s="6">
        <v>6744</v>
      </c>
      <c r="I71" s="6">
        <v>57.32</v>
      </c>
      <c r="K71" s="6">
        <v>8390</v>
      </c>
      <c r="L71" s="6">
        <v>57.71</v>
      </c>
      <c r="AC71" s="6">
        <v>6583</v>
      </c>
      <c r="AD71" s="6">
        <v>57.49</v>
      </c>
    </row>
    <row r="72" spans="2:30" x14ac:dyDescent="0.35">
      <c r="B72" s="38">
        <v>8332</v>
      </c>
      <c r="C72" s="38">
        <v>57.55</v>
      </c>
      <c r="E72" s="6">
        <v>6889</v>
      </c>
      <c r="F72" s="6">
        <v>57.36</v>
      </c>
      <c r="G72" s="11"/>
      <c r="H72" s="6">
        <v>6844</v>
      </c>
      <c r="I72" s="6">
        <v>57.17</v>
      </c>
      <c r="K72" s="6">
        <v>8517</v>
      </c>
      <c r="L72" s="6">
        <v>58.03</v>
      </c>
      <c r="AC72" s="6">
        <v>6756</v>
      </c>
      <c r="AD72" s="6">
        <v>57.5</v>
      </c>
    </row>
    <row r="73" spans="2:30" x14ac:dyDescent="0.35">
      <c r="B73" s="38">
        <v>8389</v>
      </c>
      <c r="C73" s="38">
        <v>57.62</v>
      </c>
      <c r="E73" s="6">
        <v>7031</v>
      </c>
      <c r="F73" s="6">
        <v>57.31</v>
      </c>
      <c r="G73" s="11"/>
      <c r="H73" s="6">
        <v>6953</v>
      </c>
      <c r="I73" s="6">
        <v>57.53</v>
      </c>
      <c r="K73" s="6">
        <v>8692</v>
      </c>
      <c r="L73" s="6">
        <v>57.49</v>
      </c>
      <c r="AC73" s="6">
        <v>6909</v>
      </c>
      <c r="AD73" s="6">
        <v>57.5</v>
      </c>
    </row>
    <row r="74" spans="2:30" x14ac:dyDescent="0.35">
      <c r="B74" s="38">
        <v>8485</v>
      </c>
      <c r="C74" s="38">
        <v>57.46</v>
      </c>
      <c r="E74" s="6">
        <v>7103</v>
      </c>
      <c r="F74" s="6">
        <v>57.33</v>
      </c>
      <c r="G74" s="11"/>
      <c r="H74" s="6">
        <v>7143</v>
      </c>
      <c r="I74" s="6">
        <v>57.89</v>
      </c>
      <c r="K74" s="6">
        <v>8867</v>
      </c>
      <c r="L74" s="6">
        <v>57.5</v>
      </c>
      <c r="AC74" s="6">
        <v>7054</v>
      </c>
      <c r="AD74" s="6">
        <v>57.54</v>
      </c>
    </row>
    <row r="75" spans="2:30" x14ac:dyDescent="0.35">
      <c r="B75" s="38">
        <v>8587</v>
      </c>
      <c r="C75" s="38">
        <v>56.43</v>
      </c>
      <c r="E75" s="6">
        <v>7130</v>
      </c>
      <c r="F75" s="6">
        <v>57.29</v>
      </c>
      <c r="G75" s="11"/>
      <c r="H75" s="6">
        <v>7400</v>
      </c>
      <c r="I75" s="6">
        <v>58.66</v>
      </c>
      <c r="K75" s="6">
        <v>9022</v>
      </c>
      <c r="L75" s="6">
        <v>57.5</v>
      </c>
      <c r="AC75" s="6">
        <v>7170</v>
      </c>
      <c r="AD75" s="6">
        <v>57.71</v>
      </c>
    </row>
    <row r="76" spans="2:30" x14ac:dyDescent="0.35">
      <c r="B76" s="38">
        <v>8743</v>
      </c>
      <c r="C76" s="38">
        <v>57.56</v>
      </c>
      <c r="E76" s="6">
        <v>7176</v>
      </c>
      <c r="F76" s="6">
        <v>57.35</v>
      </c>
      <c r="G76" s="11"/>
      <c r="H76" s="6">
        <v>7608</v>
      </c>
      <c r="I76" s="6">
        <v>57.5</v>
      </c>
      <c r="K76" s="6">
        <v>9170</v>
      </c>
      <c r="L76" s="6">
        <v>57.54</v>
      </c>
      <c r="AC76" s="6">
        <v>7444</v>
      </c>
      <c r="AD76" s="6">
        <v>57.65</v>
      </c>
    </row>
    <row r="77" spans="2:30" x14ac:dyDescent="0.35">
      <c r="B77" s="38">
        <v>8884</v>
      </c>
      <c r="C77" s="38">
        <v>57.54</v>
      </c>
      <c r="E77" s="6">
        <v>7259</v>
      </c>
      <c r="F77" s="6">
        <v>57.3</v>
      </c>
      <c r="G77" s="11"/>
      <c r="H77" s="6">
        <v>7662</v>
      </c>
      <c r="I77" s="6">
        <v>57.26</v>
      </c>
      <c r="K77" s="6">
        <v>9580</v>
      </c>
      <c r="L77" s="6">
        <v>57.65</v>
      </c>
      <c r="AC77" s="6">
        <v>7530</v>
      </c>
      <c r="AD77" s="6">
        <v>58.88</v>
      </c>
    </row>
    <row r="78" spans="2:30" x14ac:dyDescent="0.35">
      <c r="B78" s="38">
        <v>8993</v>
      </c>
      <c r="C78" s="38">
        <v>57.82</v>
      </c>
      <c r="E78" s="6">
        <v>7352</v>
      </c>
      <c r="F78" s="6">
        <v>58.55</v>
      </c>
      <c r="G78" s="11"/>
      <c r="H78" s="6">
        <v>7729</v>
      </c>
      <c r="I78" s="6">
        <v>57.2</v>
      </c>
      <c r="K78" s="6">
        <v>9690</v>
      </c>
      <c r="L78" s="6">
        <v>58.04</v>
      </c>
      <c r="AC78" s="6">
        <v>7690</v>
      </c>
      <c r="AD78" s="6">
        <v>56.33</v>
      </c>
    </row>
    <row r="79" spans="2:30" x14ac:dyDescent="0.35">
      <c r="B79" s="38">
        <v>9113</v>
      </c>
      <c r="C79" s="38">
        <v>57.73</v>
      </c>
      <c r="E79" s="6">
        <v>7453</v>
      </c>
      <c r="F79" s="6">
        <v>57.6</v>
      </c>
      <c r="G79" s="11"/>
      <c r="H79" s="6">
        <v>7864</v>
      </c>
      <c r="I79" s="6">
        <v>57.36</v>
      </c>
      <c r="K79" s="6">
        <v>9886</v>
      </c>
      <c r="L79" s="6">
        <v>56.64</v>
      </c>
      <c r="AC79" s="6">
        <v>7966</v>
      </c>
      <c r="AD79" s="6">
        <v>56.67</v>
      </c>
    </row>
    <row r="80" spans="2:30" x14ac:dyDescent="0.35">
      <c r="B80" s="38">
        <v>9175</v>
      </c>
      <c r="C80" s="38">
        <v>57.76</v>
      </c>
      <c r="E80" s="6">
        <v>7547</v>
      </c>
      <c r="F80" s="6">
        <v>57.68</v>
      </c>
      <c r="G80" s="11"/>
      <c r="H80" s="6">
        <v>8006</v>
      </c>
      <c r="I80" s="6">
        <v>57.31</v>
      </c>
      <c r="J80" s="13" t="s">
        <v>54</v>
      </c>
      <c r="K80" s="15">
        <v>10144</v>
      </c>
      <c r="L80" s="15">
        <v>57.17</v>
      </c>
      <c r="AB80" s="13" t="s">
        <v>54</v>
      </c>
      <c r="AC80" s="15">
        <v>8043</v>
      </c>
      <c r="AD80" s="15">
        <v>57.17</v>
      </c>
    </row>
    <row r="81" spans="1:9" x14ac:dyDescent="0.35">
      <c r="B81" s="38">
        <v>9194</v>
      </c>
      <c r="C81" s="38">
        <v>57.51</v>
      </c>
      <c r="E81" s="6">
        <v>7623</v>
      </c>
      <c r="F81" s="6">
        <v>57.72</v>
      </c>
      <c r="G81" s="11"/>
      <c r="H81" s="6">
        <v>8078</v>
      </c>
      <c r="I81" s="6">
        <v>57.33</v>
      </c>
    </row>
    <row r="82" spans="1:9" x14ac:dyDescent="0.35">
      <c r="B82" s="38">
        <v>9384</v>
      </c>
      <c r="C82" s="38">
        <v>58.37</v>
      </c>
      <c r="E82" s="6">
        <v>7766</v>
      </c>
      <c r="F82" s="6">
        <v>57.59</v>
      </c>
      <c r="G82" s="11"/>
      <c r="H82" s="6">
        <v>8105</v>
      </c>
      <c r="I82" s="6">
        <v>57.29</v>
      </c>
    </row>
    <row r="83" spans="1:9" x14ac:dyDescent="0.35">
      <c r="B83" s="38">
        <v>9451</v>
      </c>
      <c r="C83" s="38">
        <v>56.5</v>
      </c>
      <c r="E83" s="6">
        <v>7948</v>
      </c>
      <c r="F83" s="6">
        <v>57.5</v>
      </c>
      <c r="G83" s="11"/>
      <c r="H83" s="6">
        <v>8151</v>
      </c>
      <c r="I83" s="6">
        <v>57.35</v>
      </c>
    </row>
    <row r="84" spans="1:9" x14ac:dyDescent="0.35">
      <c r="B84" s="38">
        <v>9572</v>
      </c>
      <c r="C84" s="38">
        <v>56.61</v>
      </c>
      <c r="E84" s="6">
        <v>8085</v>
      </c>
      <c r="F84" s="6">
        <v>57.47</v>
      </c>
      <c r="G84" s="11"/>
      <c r="H84" s="6">
        <v>8234</v>
      </c>
      <c r="I84" s="6">
        <v>57.3</v>
      </c>
    </row>
    <row r="85" spans="1:9" x14ac:dyDescent="0.35">
      <c r="B85" s="38">
        <v>9740</v>
      </c>
      <c r="C85" s="38">
        <v>56.74</v>
      </c>
      <c r="E85" s="6">
        <v>8204</v>
      </c>
      <c r="F85" s="6">
        <v>59.59</v>
      </c>
      <c r="G85" s="11"/>
      <c r="H85" s="6">
        <v>8327</v>
      </c>
      <c r="I85" s="6">
        <v>58.55</v>
      </c>
    </row>
    <row r="86" spans="1:9" x14ac:dyDescent="0.35">
      <c r="A86" s="19" t="s">
        <v>54</v>
      </c>
      <c r="B86" s="9">
        <v>9751</v>
      </c>
      <c r="C86" s="9">
        <v>57.17</v>
      </c>
      <c r="E86" s="6">
        <v>8302</v>
      </c>
      <c r="F86" s="6">
        <v>58.03</v>
      </c>
      <c r="G86" s="11"/>
      <c r="H86" s="6">
        <v>8428</v>
      </c>
      <c r="I86" s="6">
        <v>57.6</v>
      </c>
    </row>
    <row r="87" spans="1:9" x14ac:dyDescent="0.35">
      <c r="E87" s="6">
        <v>8752</v>
      </c>
      <c r="F87" s="6">
        <v>56.11</v>
      </c>
      <c r="G87" s="11"/>
      <c r="H87" s="6">
        <v>8522</v>
      </c>
      <c r="I87" s="6">
        <v>57.68</v>
      </c>
    </row>
    <row r="88" spans="1:9" x14ac:dyDescent="0.35">
      <c r="E88" s="6">
        <v>8903</v>
      </c>
      <c r="F88" s="6">
        <v>57.47</v>
      </c>
      <c r="G88" s="11"/>
      <c r="H88" s="6">
        <v>8598</v>
      </c>
      <c r="I88" s="6">
        <v>57.72</v>
      </c>
    </row>
    <row r="89" spans="1:9" x14ac:dyDescent="0.35">
      <c r="E89" s="6">
        <v>9022</v>
      </c>
      <c r="F89" s="6">
        <v>57.46</v>
      </c>
      <c r="G89" s="11"/>
      <c r="H89" s="6">
        <v>8741</v>
      </c>
      <c r="I89" s="6">
        <v>57.59</v>
      </c>
    </row>
    <row r="90" spans="1:9" x14ac:dyDescent="0.35">
      <c r="E90" s="6">
        <v>9146</v>
      </c>
      <c r="F90" s="6">
        <v>57.71</v>
      </c>
      <c r="G90" s="11"/>
      <c r="H90" s="6">
        <v>8923</v>
      </c>
      <c r="I90" s="6">
        <v>57.5</v>
      </c>
    </row>
    <row r="91" spans="1:9" x14ac:dyDescent="0.35">
      <c r="E91" s="6">
        <v>9450</v>
      </c>
      <c r="F91" s="6">
        <v>58.11</v>
      </c>
      <c r="G91" s="11"/>
      <c r="H91" s="6">
        <v>9060</v>
      </c>
      <c r="I91" s="6">
        <v>57.47</v>
      </c>
    </row>
    <row r="92" spans="1:9" x14ac:dyDescent="0.35">
      <c r="E92" s="6">
        <v>9459</v>
      </c>
      <c r="F92" s="6">
        <v>58.03</v>
      </c>
      <c r="G92" s="11"/>
      <c r="H92" s="6">
        <v>9179</v>
      </c>
      <c r="I92" s="6">
        <v>59.59</v>
      </c>
    </row>
    <row r="93" spans="1:9" x14ac:dyDescent="0.35">
      <c r="E93" s="6">
        <v>9467</v>
      </c>
      <c r="F93" s="6">
        <v>57.61</v>
      </c>
      <c r="G93" s="11"/>
      <c r="H93" s="6">
        <v>9277</v>
      </c>
      <c r="I93" s="6">
        <v>58.03</v>
      </c>
    </row>
    <row r="94" spans="1:9" x14ac:dyDescent="0.35">
      <c r="E94" s="6">
        <v>9564</v>
      </c>
      <c r="F94" s="6">
        <v>57.1</v>
      </c>
      <c r="G94" s="11"/>
      <c r="H94" s="6">
        <v>9727</v>
      </c>
      <c r="I94" s="6">
        <v>56.11</v>
      </c>
    </row>
    <row r="95" spans="1:9" x14ac:dyDescent="0.35">
      <c r="E95" s="6">
        <v>9699</v>
      </c>
      <c r="F95" s="6">
        <v>58.24</v>
      </c>
      <c r="G95" s="11"/>
      <c r="H95" s="6">
        <v>9878</v>
      </c>
      <c r="I95" s="6">
        <v>57.47</v>
      </c>
    </row>
    <row r="96" spans="1:9" x14ac:dyDescent="0.35">
      <c r="E96" s="6">
        <v>9797</v>
      </c>
      <c r="F96" s="6">
        <v>57.22</v>
      </c>
      <c r="G96" s="11"/>
      <c r="H96" s="6">
        <v>9997</v>
      </c>
      <c r="I96" s="6">
        <v>57.46</v>
      </c>
    </row>
    <row r="97" spans="4:9" x14ac:dyDescent="0.35">
      <c r="D97" s="13" t="s">
        <v>54</v>
      </c>
      <c r="E97" s="40">
        <v>9922</v>
      </c>
      <c r="F97" s="40">
        <v>57.64</v>
      </c>
      <c r="G97" s="11"/>
      <c r="H97" s="6">
        <v>10121</v>
      </c>
      <c r="I97" s="6">
        <v>57.71</v>
      </c>
    </row>
    <row r="98" spans="4:9" x14ac:dyDescent="0.35">
      <c r="G98" s="11"/>
      <c r="H98" s="6">
        <v>10425</v>
      </c>
      <c r="I98" s="6">
        <v>58.11</v>
      </c>
    </row>
    <row r="99" spans="4:9" x14ac:dyDescent="0.35">
      <c r="G99" s="11"/>
      <c r="H99" s="6">
        <v>10434</v>
      </c>
      <c r="I99" s="6">
        <v>58.03</v>
      </c>
    </row>
    <row r="100" spans="4:9" x14ac:dyDescent="0.35">
      <c r="G100" s="11"/>
      <c r="H100" s="6">
        <v>10442</v>
      </c>
      <c r="I100" s="6">
        <v>57.61</v>
      </c>
    </row>
    <row r="101" spans="4:9" x14ac:dyDescent="0.35">
      <c r="G101" s="11"/>
      <c r="H101" s="6">
        <v>10539</v>
      </c>
      <c r="I101" s="6">
        <v>57.1</v>
      </c>
    </row>
    <row r="102" spans="4:9" x14ac:dyDescent="0.35">
      <c r="G102" s="11"/>
      <c r="H102" s="6">
        <v>10674</v>
      </c>
      <c r="I102" s="6">
        <v>58.24</v>
      </c>
    </row>
    <row r="103" spans="4:9" x14ac:dyDescent="0.35">
      <c r="G103" s="11"/>
      <c r="H103" s="6">
        <v>10772</v>
      </c>
      <c r="I103" s="6">
        <v>57.22</v>
      </c>
    </row>
    <row r="104" spans="4:9" x14ac:dyDescent="0.35">
      <c r="G104" s="19" t="s">
        <v>54</v>
      </c>
      <c r="H104" s="19">
        <v>10897</v>
      </c>
      <c r="I104" s="19">
        <v>57.64</v>
      </c>
    </row>
  </sheetData>
  <mergeCells count="53">
    <mergeCell ref="B1:C1"/>
    <mergeCell ref="E1:F1"/>
    <mergeCell ref="EM1:EN1"/>
    <mergeCell ref="EP1:EQ1"/>
    <mergeCell ref="ES1:ET1"/>
    <mergeCell ref="DL1:DM1"/>
    <mergeCell ref="CE1:CF1"/>
    <mergeCell ref="CH1:CI1"/>
    <mergeCell ref="CK1:CL1"/>
    <mergeCell ref="CN1:CO1"/>
    <mergeCell ref="CQ1:CR1"/>
    <mergeCell ref="CT1:CU1"/>
    <mergeCell ref="CW1:CX1"/>
    <mergeCell ref="CZ1:DA1"/>
    <mergeCell ref="DC1:DD1"/>
    <mergeCell ref="DF1:DG1"/>
    <mergeCell ref="DI1:DJ1"/>
    <mergeCell ref="EV1:EW1"/>
    <mergeCell ref="DO1:DP1"/>
    <mergeCell ref="DR1:DS1"/>
    <mergeCell ref="DU1:DV1"/>
    <mergeCell ref="DX1:DY1"/>
    <mergeCell ref="EA1:EB1"/>
    <mergeCell ref="ED1:EE1"/>
    <mergeCell ref="EG1:EH1"/>
    <mergeCell ref="EJ1:EK1"/>
    <mergeCell ref="EY1:EZ1"/>
    <mergeCell ref="H1:I1"/>
    <mergeCell ref="K1:L1"/>
    <mergeCell ref="N1:O1"/>
    <mergeCell ref="Q1:R1"/>
    <mergeCell ref="T1:U1"/>
    <mergeCell ref="W1:X1"/>
    <mergeCell ref="Z1:AA1"/>
    <mergeCell ref="AC1:AD1"/>
    <mergeCell ref="AF1:AG1"/>
    <mergeCell ref="AI1:AJ1"/>
    <mergeCell ref="AL1:AM1"/>
    <mergeCell ref="AO1:AP1"/>
    <mergeCell ref="AR1:AS1"/>
    <mergeCell ref="AU1:AV1"/>
    <mergeCell ref="CB1:CC1"/>
    <mergeCell ref="G7:G8"/>
    <mergeCell ref="BM1:BN1"/>
    <mergeCell ref="BP1:BQ1"/>
    <mergeCell ref="BS1:BT1"/>
    <mergeCell ref="BV1:BW1"/>
    <mergeCell ref="BY1:BZ1"/>
    <mergeCell ref="AX1:AY1"/>
    <mergeCell ref="BA1:BB1"/>
    <mergeCell ref="BD1:BE1"/>
    <mergeCell ref="BG1:BH1"/>
    <mergeCell ref="BJ1:BK1"/>
  </mergeCell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CI72"/>
  <sheetViews>
    <sheetView workbookViewId="0">
      <pane ySplit="2" topLeftCell="A3" activePane="bottomLeft" state="frozen"/>
      <selection pane="bottomLeft" activeCell="CI72" sqref="CI72"/>
    </sheetView>
  </sheetViews>
  <sheetFormatPr defaultRowHeight="14.5" x14ac:dyDescent="0.35"/>
  <sheetData>
    <row r="1" spans="1:87" x14ac:dyDescent="0.35">
      <c r="B1" s="99" t="s">
        <v>161</v>
      </c>
      <c r="C1" s="100"/>
      <c r="E1" s="99" t="s">
        <v>162</v>
      </c>
      <c r="F1" s="100"/>
      <c r="H1" s="99" t="s">
        <v>163</v>
      </c>
      <c r="I1" s="100"/>
      <c r="K1" s="99" t="s">
        <v>164</v>
      </c>
      <c r="L1" s="100"/>
      <c r="N1" s="99" t="s">
        <v>165</v>
      </c>
      <c r="O1" s="100"/>
      <c r="Q1" s="99" t="s">
        <v>166</v>
      </c>
      <c r="R1" s="100"/>
      <c r="T1" s="99" t="s">
        <v>167</v>
      </c>
      <c r="U1" s="100"/>
      <c r="W1" s="99" t="s">
        <v>168</v>
      </c>
      <c r="X1" s="100"/>
      <c r="Z1" s="99" t="s">
        <v>169</v>
      </c>
      <c r="AA1" s="100"/>
      <c r="AC1" s="99" t="s">
        <v>170</v>
      </c>
      <c r="AD1" s="100"/>
      <c r="AF1" s="99" t="s">
        <v>171</v>
      </c>
      <c r="AG1" s="100"/>
      <c r="AI1" s="99" t="s">
        <v>172</v>
      </c>
      <c r="AJ1" s="100"/>
      <c r="AL1" s="99" t="s">
        <v>173</v>
      </c>
      <c r="AM1" s="100"/>
      <c r="AO1" s="99" t="s">
        <v>174</v>
      </c>
      <c r="AP1" s="100"/>
      <c r="AR1" s="99" t="s">
        <v>175</v>
      </c>
      <c r="AS1" s="100"/>
      <c r="AU1" s="99" t="s">
        <v>176</v>
      </c>
      <c r="AV1" s="100"/>
      <c r="AX1" s="99" t="s">
        <v>177</v>
      </c>
      <c r="AY1" s="100"/>
      <c r="BA1" s="99" t="s">
        <v>178</v>
      </c>
      <c r="BB1" s="100"/>
      <c r="BD1" s="99" t="s">
        <v>179</v>
      </c>
      <c r="BE1" s="100"/>
      <c r="BG1" s="99" t="s">
        <v>180</v>
      </c>
      <c r="BH1" s="100"/>
      <c r="BJ1" s="99" t="s">
        <v>181</v>
      </c>
      <c r="BK1" s="100"/>
      <c r="BM1" s="99" t="s">
        <v>182</v>
      </c>
      <c r="BN1" s="100"/>
      <c r="BP1" s="99" t="s">
        <v>183</v>
      </c>
      <c r="BQ1" s="100"/>
      <c r="BS1" s="99" t="s">
        <v>184</v>
      </c>
      <c r="BT1" s="100"/>
      <c r="BV1" s="99" t="s">
        <v>185</v>
      </c>
      <c r="BW1" s="100"/>
      <c r="BY1" s="99" t="s">
        <v>186</v>
      </c>
      <c r="BZ1" s="100"/>
      <c r="CB1" s="99" t="s">
        <v>187</v>
      </c>
      <c r="CC1" s="100"/>
      <c r="CE1" s="99" t="s">
        <v>188</v>
      </c>
      <c r="CF1" s="100"/>
      <c r="CH1" s="37"/>
      <c r="CI1" s="37"/>
    </row>
    <row r="2" spans="1:87" x14ac:dyDescent="0.35">
      <c r="B2" s="1" t="s">
        <v>32</v>
      </c>
      <c r="C2" s="1" t="s">
        <v>33</v>
      </c>
      <c r="E2" s="1" t="s">
        <v>32</v>
      </c>
      <c r="F2" s="1" t="s">
        <v>33</v>
      </c>
      <c r="H2" s="1" t="s">
        <v>32</v>
      </c>
      <c r="I2" s="1" t="s">
        <v>33</v>
      </c>
      <c r="K2" s="1" t="s">
        <v>32</v>
      </c>
      <c r="L2" s="1" t="s">
        <v>33</v>
      </c>
      <c r="N2" s="1" t="s">
        <v>32</v>
      </c>
      <c r="O2" s="1" t="s">
        <v>33</v>
      </c>
      <c r="Q2" s="1" t="s">
        <v>32</v>
      </c>
      <c r="R2" s="1" t="s">
        <v>33</v>
      </c>
      <c r="T2" s="1" t="s">
        <v>32</v>
      </c>
      <c r="U2" s="1" t="s">
        <v>33</v>
      </c>
      <c r="W2" s="1" t="s">
        <v>32</v>
      </c>
      <c r="X2" s="1" t="s">
        <v>33</v>
      </c>
      <c r="Z2" s="1" t="s">
        <v>32</v>
      </c>
      <c r="AA2" s="1" t="s">
        <v>33</v>
      </c>
      <c r="AC2" s="1" t="s">
        <v>32</v>
      </c>
      <c r="AD2" s="1" t="s">
        <v>33</v>
      </c>
      <c r="AF2" s="1" t="s">
        <v>32</v>
      </c>
      <c r="AG2" s="1" t="s">
        <v>33</v>
      </c>
      <c r="AI2" s="1" t="s">
        <v>32</v>
      </c>
      <c r="AJ2" s="1" t="s">
        <v>33</v>
      </c>
      <c r="AL2" s="1" t="s">
        <v>32</v>
      </c>
      <c r="AM2" s="1" t="s">
        <v>33</v>
      </c>
      <c r="AO2" s="1" t="s">
        <v>32</v>
      </c>
      <c r="AP2" s="1" t="s">
        <v>33</v>
      </c>
      <c r="AR2" s="1" t="s">
        <v>32</v>
      </c>
      <c r="AS2" s="1" t="s">
        <v>33</v>
      </c>
      <c r="AU2" s="1" t="s">
        <v>32</v>
      </c>
      <c r="AV2" s="1" t="s">
        <v>33</v>
      </c>
      <c r="AX2" s="1" t="s">
        <v>32</v>
      </c>
      <c r="AY2" s="1" t="s">
        <v>33</v>
      </c>
      <c r="BA2" s="1" t="s">
        <v>32</v>
      </c>
      <c r="BB2" s="1" t="s">
        <v>33</v>
      </c>
      <c r="BD2" s="1" t="s">
        <v>32</v>
      </c>
      <c r="BE2" s="1" t="s">
        <v>33</v>
      </c>
      <c r="BG2" s="1" t="s">
        <v>32</v>
      </c>
      <c r="BH2" s="1" t="s">
        <v>33</v>
      </c>
      <c r="BJ2" s="1" t="s">
        <v>32</v>
      </c>
      <c r="BK2" s="1" t="s">
        <v>33</v>
      </c>
      <c r="BM2" s="1" t="s">
        <v>32</v>
      </c>
      <c r="BN2" s="1" t="s">
        <v>33</v>
      </c>
      <c r="BP2" s="1" t="s">
        <v>32</v>
      </c>
      <c r="BQ2" s="1" t="s">
        <v>33</v>
      </c>
      <c r="BS2" s="1" t="s">
        <v>32</v>
      </c>
      <c r="BT2" s="1" t="s">
        <v>33</v>
      </c>
      <c r="BV2" s="1" t="s">
        <v>32</v>
      </c>
      <c r="BW2" s="1" t="s">
        <v>33</v>
      </c>
      <c r="BY2" s="1" t="s">
        <v>32</v>
      </c>
      <c r="BZ2" s="1" t="s">
        <v>33</v>
      </c>
      <c r="CB2" s="1" t="s">
        <v>32</v>
      </c>
      <c r="CC2" s="1" t="s">
        <v>33</v>
      </c>
      <c r="CE2" s="1" t="s">
        <v>32</v>
      </c>
      <c r="CF2" s="1" t="s">
        <v>33</v>
      </c>
      <c r="CH2" s="28"/>
      <c r="CI2" s="28"/>
    </row>
    <row r="3" spans="1:87" x14ac:dyDescent="0.35">
      <c r="B3" s="38">
        <v>0</v>
      </c>
      <c r="C3" s="38">
        <v>57.51</v>
      </c>
      <c r="E3" s="38">
        <v>0</v>
      </c>
      <c r="F3" s="38">
        <v>58.5</v>
      </c>
      <c r="H3" s="53">
        <v>0</v>
      </c>
      <c r="I3" s="53">
        <v>54.37</v>
      </c>
      <c r="J3" s="58"/>
      <c r="K3" s="53">
        <v>0</v>
      </c>
      <c r="L3" s="53">
        <v>54.14</v>
      </c>
      <c r="M3" s="58"/>
      <c r="N3" s="59">
        <v>0</v>
      </c>
      <c r="O3" s="59">
        <v>55.75</v>
      </c>
      <c r="Q3" s="53">
        <v>0</v>
      </c>
      <c r="R3" s="53">
        <v>58.31</v>
      </c>
      <c r="T3" s="53">
        <v>0</v>
      </c>
      <c r="U3" s="53">
        <v>53.21</v>
      </c>
      <c r="W3" s="53">
        <v>0</v>
      </c>
      <c r="X3" s="53">
        <v>53.08</v>
      </c>
      <c r="Z3" s="53">
        <v>0</v>
      </c>
      <c r="AA3" s="53">
        <v>51.75</v>
      </c>
      <c r="AC3" s="53">
        <v>0</v>
      </c>
      <c r="AD3" s="53">
        <v>51.22</v>
      </c>
      <c r="AF3" s="53">
        <v>0</v>
      </c>
      <c r="AG3" s="53">
        <v>54.39</v>
      </c>
      <c r="AI3" s="53">
        <v>0</v>
      </c>
      <c r="AJ3" s="53">
        <v>57.23</v>
      </c>
      <c r="AL3" s="53">
        <v>0</v>
      </c>
      <c r="AM3" s="53">
        <v>56.23</v>
      </c>
      <c r="AO3" s="38">
        <v>0</v>
      </c>
      <c r="AP3" s="38">
        <v>55.48</v>
      </c>
      <c r="AR3" s="53">
        <v>0</v>
      </c>
      <c r="AS3" s="53">
        <v>54.04</v>
      </c>
      <c r="AU3" s="53">
        <v>0</v>
      </c>
      <c r="AV3" s="53">
        <v>57.13</v>
      </c>
      <c r="AX3" s="53">
        <v>0</v>
      </c>
      <c r="AY3" s="53">
        <v>57.36</v>
      </c>
      <c r="BA3" s="38">
        <v>0</v>
      </c>
      <c r="BB3" s="38">
        <v>56.19</v>
      </c>
      <c r="BD3" s="38">
        <v>0</v>
      </c>
      <c r="BE3" s="38">
        <v>57.59</v>
      </c>
      <c r="BG3" s="53">
        <v>0</v>
      </c>
      <c r="BH3" s="53">
        <v>59.38</v>
      </c>
      <c r="BJ3" s="38">
        <v>0</v>
      </c>
      <c r="BK3" s="38">
        <v>58.85</v>
      </c>
      <c r="BM3" s="53">
        <v>0</v>
      </c>
      <c r="BN3" s="53">
        <v>53.47</v>
      </c>
      <c r="BP3" s="38">
        <v>0</v>
      </c>
      <c r="BQ3" s="38">
        <v>56.92</v>
      </c>
      <c r="BS3" s="38">
        <v>0</v>
      </c>
      <c r="BT3" s="38">
        <v>58.71</v>
      </c>
      <c r="BV3" s="38">
        <v>0</v>
      </c>
      <c r="BW3" s="38">
        <v>59.51</v>
      </c>
      <c r="BY3" s="53">
        <v>0</v>
      </c>
      <c r="BZ3" s="53">
        <v>56.09</v>
      </c>
      <c r="CB3" s="38">
        <v>0</v>
      </c>
      <c r="CC3" s="38">
        <v>54.86</v>
      </c>
      <c r="CE3" s="38">
        <v>0</v>
      </c>
      <c r="CF3" s="38">
        <v>56.54</v>
      </c>
    </row>
    <row r="4" spans="1:87" x14ac:dyDescent="0.35">
      <c r="B4" s="38">
        <v>182</v>
      </c>
      <c r="C4" s="38">
        <v>56.92</v>
      </c>
      <c r="E4" s="38">
        <v>45</v>
      </c>
      <c r="F4" s="38">
        <v>56.34</v>
      </c>
      <c r="H4" s="53">
        <v>68</v>
      </c>
      <c r="I4" s="53">
        <v>54.58</v>
      </c>
      <c r="K4" s="53">
        <v>81</v>
      </c>
      <c r="L4" s="53">
        <v>54.26</v>
      </c>
      <c r="N4" s="59">
        <v>62</v>
      </c>
      <c r="O4" s="59">
        <v>55.64</v>
      </c>
      <c r="Q4" s="53">
        <v>137</v>
      </c>
      <c r="R4" s="53">
        <v>57.05</v>
      </c>
      <c r="T4" s="53">
        <v>68</v>
      </c>
      <c r="U4" s="53">
        <v>52.56</v>
      </c>
      <c r="W4" s="53">
        <v>129</v>
      </c>
      <c r="X4" s="53">
        <v>52.73</v>
      </c>
      <c r="Z4" s="53">
        <v>61</v>
      </c>
      <c r="AA4" s="53">
        <v>52.62</v>
      </c>
      <c r="AC4" s="53">
        <v>198</v>
      </c>
      <c r="AD4" s="53">
        <v>50.54</v>
      </c>
      <c r="AF4" s="53">
        <v>59</v>
      </c>
      <c r="AG4" s="53">
        <v>54.6</v>
      </c>
      <c r="AI4" s="53">
        <v>106</v>
      </c>
      <c r="AJ4" s="53">
        <v>57.11</v>
      </c>
      <c r="AL4" s="53">
        <v>56</v>
      </c>
      <c r="AM4" s="53">
        <v>56.59</v>
      </c>
      <c r="AO4" s="38">
        <v>40</v>
      </c>
      <c r="AP4" s="38">
        <v>56.68</v>
      </c>
      <c r="AR4" s="38">
        <v>48</v>
      </c>
      <c r="AS4" s="38">
        <v>54.2</v>
      </c>
      <c r="AT4" s="13" t="s">
        <v>203</v>
      </c>
      <c r="AU4" s="40">
        <v>58</v>
      </c>
      <c r="AV4" s="40">
        <v>57.1</v>
      </c>
      <c r="AX4" s="38">
        <v>98</v>
      </c>
      <c r="AY4" s="38">
        <v>57.45</v>
      </c>
      <c r="BA4" s="38">
        <v>200</v>
      </c>
      <c r="BB4" s="38">
        <v>55.77</v>
      </c>
      <c r="BC4" s="19" t="s">
        <v>206</v>
      </c>
      <c r="BD4" s="39">
        <v>145</v>
      </c>
      <c r="BE4" s="39">
        <v>57.64</v>
      </c>
      <c r="BG4" s="38">
        <v>105</v>
      </c>
      <c r="BH4" s="38">
        <v>58.57</v>
      </c>
      <c r="BJ4" s="38">
        <v>179</v>
      </c>
      <c r="BK4" s="38">
        <v>59.81</v>
      </c>
      <c r="BM4" s="53">
        <v>291</v>
      </c>
      <c r="BN4" s="53">
        <v>53.73</v>
      </c>
      <c r="BP4" s="38">
        <v>20</v>
      </c>
      <c r="BQ4" s="38">
        <v>55.96</v>
      </c>
      <c r="BS4" s="38">
        <v>113</v>
      </c>
      <c r="BT4" s="38">
        <v>60.43</v>
      </c>
      <c r="BV4" s="38">
        <v>105</v>
      </c>
      <c r="BW4" s="38">
        <v>60.48</v>
      </c>
      <c r="BY4" s="53">
        <v>145</v>
      </c>
      <c r="BZ4" s="53">
        <v>55.87</v>
      </c>
      <c r="CB4" s="38">
        <v>71</v>
      </c>
      <c r="CC4" s="38">
        <v>54.42</v>
      </c>
      <c r="CE4" s="38">
        <v>76</v>
      </c>
      <c r="CF4" s="38">
        <v>56.14</v>
      </c>
    </row>
    <row r="5" spans="1:87" x14ac:dyDescent="0.35">
      <c r="B5" s="38">
        <v>288</v>
      </c>
      <c r="C5" s="38">
        <v>56.42</v>
      </c>
      <c r="D5" s="13" t="s">
        <v>119</v>
      </c>
      <c r="E5" s="40">
        <v>125</v>
      </c>
      <c r="F5" s="40">
        <v>56.89</v>
      </c>
      <c r="H5" s="38">
        <v>184</v>
      </c>
      <c r="I5" s="38">
        <v>55.42</v>
      </c>
      <c r="K5" s="38">
        <v>140</v>
      </c>
      <c r="L5" s="38">
        <v>53.32</v>
      </c>
      <c r="N5" s="59">
        <v>185</v>
      </c>
      <c r="O5" s="59">
        <v>55.63</v>
      </c>
      <c r="Q5" s="53">
        <v>224</v>
      </c>
      <c r="R5" s="53">
        <v>56.76</v>
      </c>
      <c r="S5" s="19" t="s">
        <v>192</v>
      </c>
      <c r="T5" s="39">
        <v>111</v>
      </c>
      <c r="U5" s="39">
        <v>52.82</v>
      </c>
      <c r="W5" s="38">
        <v>284</v>
      </c>
      <c r="X5" s="38">
        <v>52.78</v>
      </c>
      <c r="Z5" s="38">
        <v>159</v>
      </c>
      <c r="AA5" s="38">
        <v>52.53</v>
      </c>
      <c r="AC5" s="53">
        <v>309</v>
      </c>
      <c r="AD5" s="53">
        <v>50.11</v>
      </c>
      <c r="AF5" s="53">
        <v>152</v>
      </c>
      <c r="AG5" s="53">
        <v>54.57</v>
      </c>
      <c r="AI5" s="53">
        <v>195</v>
      </c>
      <c r="AJ5" s="53">
        <v>56.41</v>
      </c>
      <c r="AL5" s="53">
        <v>118</v>
      </c>
      <c r="AM5" s="53">
        <v>56.57</v>
      </c>
      <c r="AO5" s="38">
        <v>84</v>
      </c>
      <c r="AP5" s="38">
        <v>56.09</v>
      </c>
      <c r="AR5" s="53">
        <v>111</v>
      </c>
      <c r="AS5" s="53">
        <v>54.35</v>
      </c>
      <c r="AU5" s="38">
        <v>177</v>
      </c>
      <c r="AV5" s="38">
        <v>57.02</v>
      </c>
      <c r="AX5" s="53">
        <v>194</v>
      </c>
      <c r="AY5" s="53">
        <v>57.88</v>
      </c>
      <c r="BA5" s="38">
        <v>323</v>
      </c>
      <c r="BB5" s="38">
        <v>55.14</v>
      </c>
      <c r="BD5" s="38">
        <v>273</v>
      </c>
      <c r="BE5" s="38">
        <v>57.42</v>
      </c>
      <c r="BG5" s="53">
        <v>201</v>
      </c>
      <c r="BH5" s="53">
        <v>58.84</v>
      </c>
      <c r="BJ5" s="38">
        <v>255</v>
      </c>
      <c r="BK5" s="38">
        <v>59.72</v>
      </c>
      <c r="BM5" s="53">
        <v>382</v>
      </c>
      <c r="BN5" s="53">
        <v>54.03</v>
      </c>
      <c r="BP5" s="38">
        <v>120</v>
      </c>
      <c r="BQ5" s="38">
        <v>56.52</v>
      </c>
      <c r="BS5" s="38">
        <v>222</v>
      </c>
      <c r="BT5" s="38">
        <v>58.06</v>
      </c>
      <c r="BV5" s="38">
        <v>255</v>
      </c>
      <c r="BW5" s="38">
        <v>58.5</v>
      </c>
      <c r="BY5" s="53">
        <v>335</v>
      </c>
      <c r="BZ5" s="53">
        <v>56.7</v>
      </c>
      <c r="CB5" s="38">
        <v>213</v>
      </c>
      <c r="CC5" s="38">
        <v>54.89</v>
      </c>
      <c r="CE5" s="38">
        <v>296</v>
      </c>
      <c r="CF5" s="38">
        <v>55.28</v>
      </c>
    </row>
    <row r="6" spans="1:87" x14ac:dyDescent="0.35">
      <c r="B6" s="38">
        <v>388</v>
      </c>
      <c r="C6" s="38">
        <v>56.44</v>
      </c>
      <c r="E6" s="40">
        <v>181</v>
      </c>
      <c r="F6" s="40">
        <v>58.05</v>
      </c>
      <c r="G6" s="19" t="s">
        <v>190</v>
      </c>
      <c r="H6" s="39">
        <v>330</v>
      </c>
      <c r="I6" s="39">
        <v>55.65</v>
      </c>
      <c r="K6" s="38">
        <v>255</v>
      </c>
      <c r="L6" s="38">
        <v>53.43</v>
      </c>
      <c r="N6" s="59">
        <v>375</v>
      </c>
      <c r="O6" s="59">
        <v>55.97</v>
      </c>
      <c r="Q6" s="53">
        <v>270</v>
      </c>
      <c r="R6" s="53">
        <v>56.89</v>
      </c>
      <c r="T6" s="38">
        <v>347</v>
      </c>
      <c r="U6" s="53">
        <v>52.21</v>
      </c>
      <c r="W6" s="53">
        <v>411</v>
      </c>
      <c r="X6" s="53">
        <v>51.02</v>
      </c>
      <c r="Z6" s="53">
        <v>256</v>
      </c>
      <c r="AA6" s="53">
        <v>52.12</v>
      </c>
      <c r="AC6" s="53">
        <v>364</v>
      </c>
      <c r="AD6" s="53">
        <v>50.15</v>
      </c>
      <c r="AE6" s="19" t="s">
        <v>197</v>
      </c>
      <c r="AF6" s="39">
        <v>250</v>
      </c>
      <c r="AG6" s="39">
        <v>49.3</v>
      </c>
      <c r="AI6" s="53">
        <v>380</v>
      </c>
      <c r="AJ6" s="53">
        <v>56.34</v>
      </c>
      <c r="AL6" s="53">
        <v>203</v>
      </c>
      <c r="AM6" s="53">
        <v>56.77</v>
      </c>
      <c r="AO6" s="38">
        <v>162</v>
      </c>
      <c r="AP6" s="38">
        <v>55.57</v>
      </c>
      <c r="AR6" s="53">
        <v>148</v>
      </c>
      <c r="AS6" s="53">
        <v>54.95</v>
      </c>
      <c r="AU6" s="38">
        <v>497</v>
      </c>
      <c r="AV6" s="38">
        <v>56.72</v>
      </c>
      <c r="AW6" s="19" t="s">
        <v>206</v>
      </c>
      <c r="AX6" s="39">
        <v>408</v>
      </c>
      <c r="AY6" s="39">
        <v>57.54</v>
      </c>
      <c r="BA6" s="38">
        <v>431</v>
      </c>
      <c r="BB6" s="38">
        <v>54.98</v>
      </c>
      <c r="BD6" s="38">
        <v>378</v>
      </c>
      <c r="BE6" s="38">
        <v>57.53</v>
      </c>
      <c r="BG6" s="53">
        <v>297</v>
      </c>
      <c r="BH6" s="53">
        <v>57.96</v>
      </c>
      <c r="BJ6" s="38">
        <v>364</v>
      </c>
      <c r="BK6" s="38">
        <v>58.36</v>
      </c>
      <c r="BM6" s="53">
        <v>489</v>
      </c>
      <c r="BN6" s="53">
        <v>54.17</v>
      </c>
      <c r="BP6" s="38">
        <v>233</v>
      </c>
      <c r="BQ6" s="38">
        <v>57.85</v>
      </c>
      <c r="BS6" s="38">
        <v>323</v>
      </c>
      <c r="BT6" s="38">
        <v>57.6</v>
      </c>
      <c r="BV6" s="38">
        <v>464</v>
      </c>
      <c r="BW6" s="38">
        <v>58.69</v>
      </c>
      <c r="BY6" s="53">
        <v>401</v>
      </c>
      <c r="BZ6" s="53">
        <v>56.58</v>
      </c>
      <c r="CB6" s="38">
        <v>278</v>
      </c>
      <c r="CC6" s="38">
        <v>55.16</v>
      </c>
      <c r="CE6" s="38">
        <v>407</v>
      </c>
      <c r="CF6" s="38">
        <v>55.25</v>
      </c>
    </row>
    <row r="7" spans="1:87" x14ac:dyDescent="0.35">
      <c r="B7" s="38">
        <v>487</v>
      </c>
      <c r="C7" s="38">
        <v>56.86</v>
      </c>
      <c r="E7" s="38">
        <v>273</v>
      </c>
      <c r="F7" s="38">
        <v>58.34</v>
      </c>
      <c r="H7" s="38">
        <v>493</v>
      </c>
      <c r="I7" s="38">
        <v>56.36</v>
      </c>
      <c r="K7" s="53">
        <v>354</v>
      </c>
      <c r="L7" s="53">
        <v>53.86</v>
      </c>
      <c r="N7" s="59">
        <v>516</v>
      </c>
      <c r="O7" s="59">
        <v>56.06</v>
      </c>
      <c r="Q7" s="38">
        <f>E25-$E$24+$Q$6</f>
        <v>462</v>
      </c>
      <c r="R7" s="38">
        <v>56.81</v>
      </c>
      <c r="T7" s="38">
        <v>458</v>
      </c>
      <c r="U7" s="53">
        <v>51.89</v>
      </c>
      <c r="W7" s="53">
        <v>494</v>
      </c>
      <c r="X7" s="53">
        <v>49.72</v>
      </c>
      <c r="Z7" s="53">
        <v>397</v>
      </c>
      <c r="AA7" s="53">
        <v>53.67</v>
      </c>
      <c r="AC7" s="53">
        <v>458</v>
      </c>
      <c r="AD7" s="53">
        <v>51.21</v>
      </c>
      <c r="AF7" s="39">
        <v>291</v>
      </c>
      <c r="AG7" s="39">
        <v>49.57</v>
      </c>
      <c r="AI7" s="53">
        <v>742</v>
      </c>
      <c r="AJ7" s="53">
        <v>57.79</v>
      </c>
      <c r="AL7" s="53">
        <v>234</v>
      </c>
      <c r="AM7" s="53">
        <v>56.57</v>
      </c>
      <c r="AO7" s="38">
        <v>250</v>
      </c>
      <c r="AP7" s="38">
        <v>56.54</v>
      </c>
      <c r="AR7" s="53">
        <v>251</v>
      </c>
      <c r="AS7" s="53">
        <v>54.93</v>
      </c>
      <c r="AU7" s="38">
        <v>782</v>
      </c>
      <c r="AV7" s="38">
        <v>57.097999999999999</v>
      </c>
      <c r="AX7" s="38">
        <v>475</v>
      </c>
      <c r="AY7" s="38">
        <v>57.49</v>
      </c>
      <c r="BA7" s="38">
        <v>529</v>
      </c>
      <c r="BB7" s="38">
        <v>55.36</v>
      </c>
      <c r="BD7" s="38">
        <v>523</v>
      </c>
      <c r="BE7" s="38">
        <v>57.49</v>
      </c>
      <c r="BG7" s="53">
        <v>393</v>
      </c>
      <c r="BH7" s="53">
        <v>58.63</v>
      </c>
      <c r="BJ7" s="38">
        <v>459</v>
      </c>
      <c r="BK7" s="38">
        <v>58.11</v>
      </c>
      <c r="BM7" s="53">
        <v>617</v>
      </c>
      <c r="BN7" s="53">
        <v>54.37</v>
      </c>
      <c r="BP7" s="38">
        <v>326</v>
      </c>
      <c r="BQ7" s="38">
        <v>57.75</v>
      </c>
      <c r="BS7" s="38">
        <v>416</v>
      </c>
      <c r="BT7" s="38">
        <v>57.52</v>
      </c>
      <c r="BV7" s="38">
        <v>555</v>
      </c>
      <c r="BW7" s="38">
        <v>58.6</v>
      </c>
      <c r="BY7" s="53">
        <v>525</v>
      </c>
      <c r="BZ7" s="53">
        <v>56.94</v>
      </c>
      <c r="CB7" s="38">
        <v>352</v>
      </c>
      <c r="CC7" s="38">
        <v>55.02</v>
      </c>
      <c r="CE7" s="38">
        <v>516</v>
      </c>
      <c r="CF7" s="38">
        <v>55.38</v>
      </c>
    </row>
    <row r="8" spans="1:87" x14ac:dyDescent="0.35">
      <c r="B8" s="38">
        <v>648</v>
      </c>
      <c r="C8" s="38">
        <v>56.14</v>
      </c>
      <c r="E8" s="38">
        <v>370</v>
      </c>
      <c r="F8" s="38">
        <v>57.92</v>
      </c>
      <c r="H8" s="38">
        <v>676</v>
      </c>
      <c r="I8" s="38">
        <v>57.8</v>
      </c>
      <c r="K8" s="53">
        <v>458</v>
      </c>
      <c r="L8" s="53">
        <v>54.45</v>
      </c>
      <c r="N8" s="59">
        <v>699</v>
      </c>
      <c r="O8" s="59">
        <v>53.63</v>
      </c>
      <c r="Q8" s="38">
        <f t="shared" ref="Q8:Q31" si="0">E26-$E$24+$Q$6</f>
        <v>691</v>
      </c>
      <c r="R8" s="38">
        <v>56.23</v>
      </c>
      <c r="T8" s="38">
        <v>584</v>
      </c>
      <c r="U8" s="53">
        <v>51.61</v>
      </c>
      <c r="W8" s="53">
        <v>528</v>
      </c>
      <c r="X8" s="53">
        <v>49.87</v>
      </c>
      <c r="Z8" s="53">
        <v>507</v>
      </c>
      <c r="AA8" s="53">
        <v>53.58</v>
      </c>
      <c r="AC8" s="53">
        <v>547</v>
      </c>
      <c r="AD8" s="53">
        <v>51.59</v>
      </c>
      <c r="AF8" s="53">
        <v>388</v>
      </c>
      <c r="AG8" s="53">
        <v>51.31</v>
      </c>
      <c r="AI8" s="53">
        <v>912</v>
      </c>
      <c r="AJ8" s="53">
        <v>57.11</v>
      </c>
      <c r="AK8" s="19" t="s">
        <v>199</v>
      </c>
      <c r="AL8" s="9">
        <v>244</v>
      </c>
      <c r="AM8" s="9">
        <v>56.56</v>
      </c>
      <c r="AO8" s="38">
        <v>311</v>
      </c>
      <c r="AP8" s="38">
        <v>56.49</v>
      </c>
      <c r="AR8" s="53">
        <v>347</v>
      </c>
      <c r="AS8" s="53">
        <v>54.84</v>
      </c>
      <c r="AU8" s="38">
        <v>960</v>
      </c>
      <c r="AV8" s="38">
        <v>56.53</v>
      </c>
      <c r="AX8" s="38">
        <v>601</v>
      </c>
      <c r="AY8" s="38">
        <v>57.49</v>
      </c>
      <c r="BA8" s="38">
        <v>618</v>
      </c>
      <c r="BB8" s="38">
        <v>55.05</v>
      </c>
      <c r="BD8" s="38">
        <v>618</v>
      </c>
      <c r="BE8" s="38">
        <v>57.4</v>
      </c>
      <c r="BG8" s="53">
        <v>485</v>
      </c>
      <c r="BH8" s="53">
        <v>57.48</v>
      </c>
      <c r="BJ8" s="38">
        <v>588</v>
      </c>
      <c r="BK8" s="38">
        <v>58.67</v>
      </c>
      <c r="BM8" s="53">
        <v>721</v>
      </c>
      <c r="BN8" s="53">
        <v>54.37</v>
      </c>
      <c r="BP8" s="38">
        <v>429</v>
      </c>
      <c r="BQ8" s="38">
        <v>57.72</v>
      </c>
      <c r="BS8" s="38">
        <v>505</v>
      </c>
      <c r="BT8" s="38">
        <v>57.48</v>
      </c>
      <c r="BV8" s="38">
        <v>648</v>
      </c>
      <c r="BW8" s="38">
        <v>58.61</v>
      </c>
      <c r="BY8" s="53">
        <v>630</v>
      </c>
      <c r="BZ8" s="53">
        <v>57.29</v>
      </c>
      <c r="CB8" s="38">
        <v>432</v>
      </c>
      <c r="CC8" s="38">
        <v>55.4</v>
      </c>
      <c r="CE8" s="38">
        <v>652</v>
      </c>
      <c r="CF8" s="38">
        <v>55.1</v>
      </c>
    </row>
    <row r="9" spans="1:87" x14ac:dyDescent="0.35">
      <c r="B9" s="38">
        <v>726</v>
      </c>
      <c r="C9" s="38">
        <v>55.51</v>
      </c>
      <c r="E9" s="38">
        <v>457</v>
      </c>
      <c r="F9" s="38">
        <v>57.94</v>
      </c>
      <c r="H9" s="38">
        <v>848</v>
      </c>
      <c r="I9" s="38">
        <v>57.56</v>
      </c>
      <c r="K9" s="53">
        <v>556</v>
      </c>
      <c r="L9" s="53">
        <v>55.11</v>
      </c>
      <c r="M9" s="19" t="s">
        <v>64</v>
      </c>
      <c r="N9" s="60">
        <v>813</v>
      </c>
      <c r="O9" s="60">
        <v>47.42</v>
      </c>
      <c r="Q9" s="38">
        <f t="shared" si="0"/>
        <v>912</v>
      </c>
      <c r="R9" s="38">
        <v>55.87</v>
      </c>
      <c r="T9" s="38">
        <v>689</v>
      </c>
      <c r="U9" s="53">
        <v>51.05</v>
      </c>
      <c r="W9" s="53">
        <v>561</v>
      </c>
      <c r="X9" s="53">
        <v>50.28</v>
      </c>
      <c r="Z9" s="53">
        <v>608</v>
      </c>
      <c r="AA9" s="53">
        <v>53.82</v>
      </c>
      <c r="AC9" s="53">
        <v>650</v>
      </c>
      <c r="AD9" s="53">
        <v>51.33</v>
      </c>
      <c r="AF9" s="53">
        <v>480</v>
      </c>
      <c r="AG9" s="53">
        <v>52.97</v>
      </c>
      <c r="AI9" s="53">
        <v>983</v>
      </c>
      <c r="AJ9" s="53">
        <v>56.83</v>
      </c>
      <c r="AL9" s="38">
        <v>1415</v>
      </c>
      <c r="AM9" s="53">
        <v>56.54</v>
      </c>
      <c r="AN9" s="13" t="s">
        <v>196</v>
      </c>
      <c r="AO9" s="40">
        <v>372</v>
      </c>
      <c r="AP9" s="40">
        <v>56</v>
      </c>
      <c r="AR9" s="53">
        <v>445</v>
      </c>
      <c r="AS9" s="53">
        <v>55.06</v>
      </c>
      <c r="AU9" s="38">
        <v>1096</v>
      </c>
      <c r="AV9" s="38">
        <v>57.06</v>
      </c>
      <c r="AX9" s="38">
        <v>774</v>
      </c>
      <c r="AY9" s="38">
        <v>57.5</v>
      </c>
      <c r="AZ9" s="13" t="s">
        <v>201</v>
      </c>
      <c r="BA9" s="40">
        <v>701</v>
      </c>
      <c r="BB9" s="40">
        <v>55.07</v>
      </c>
      <c r="BD9" s="38">
        <v>830</v>
      </c>
      <c r="BE9" s="38">
        <v>57.31</v>
      </c>
      <c r="BG9" s="53">
        <v>684</v>
      </c>
      <c r="BH9" s="53">
        <v>58.85</v>
      </c>
      <c r="BJ9" s="38">
        <v>694</v>
      </c>
      <c r="BK9" s="38">
        <v>58.09</v>
      </c>
      <c r="BM9" s="53">
        <v>846</v>
      </c>
      <c r="BN9" s="53">
        <v>54.8</v>
      </c>
      <c r="BP9" s="38">
        <v>517</v>
      </c>
      <c r="BQ9" s="38">
        <v>57.84</v>
      </c>
      <c r="BS9" s="38">
        <v>588</v>
      </c>
      <c r="BT9" s="38">
        <v>57.49</v>
      </c>
      <c r="BV9" s="38">
        <v>731</v>
      </c>
      <c r="BW9" s="38">
        <v>57.54</v>
      </c>
      <c r="BY9" s="53">
        <v>712</v>
      </c>
      <c r="BZ9" s="53">
        <v>56.88</v>
      </c>
      <c r="CB9" s="38">
        <v>495</v>
      </c>
      <c r="CC9" s="38">
        <v>56.25</v>
      </c>
      <c r="CE9" s="38">
        <v>769</v>
      </c>
      <c r="CF9" s="38">
        <v>55.84</v>
      </c>
    </row>
    <row r="10" spans="1:87" x14ac:dyDescent="0.35">
      <c r="B10" s="38">
        <v>788</v>
      </c>
      <c r="C10" s="38">
        <v>55.03</v>
      </c>
      <c r="E10" s="38">
        <v>535</v>
      </c>
      <c r="F10" s="38">
        <v>58.85</v>
      </c>
      <c r="H10" s="38">
        <v>1015</v>
      </c>
      <c r="I10" s="38">
        <v>57.42</v>
      </c>
      <c r="K10" s="53">
        <v>672</v>
      </c>
      <c r="L10" s="53">
        <v>55.08</v>
      </c>
      <c r="N10" s="60">
        <v>854</v>
      </c>
      <c r="O10" s="60">
        <v>49.71</v>
      </c>
      <c r="Q10" s="38">
        <f t="shared" si="0"/>
        <v>1091</v>
      </c>
      <c r="R10" s="38">
        <v>54.63</v>
      </c>
      <c r="T10" s="38">
        <v>800</v>
      </c>
      <c r="U10" s="53">
        <v>50.87</v>
      </c>
      <c r="W10" s="53">
        <v>653</v>
      </c>
      <c r="X10" s="53">
        <v>49.16</v>
      </c>
      <c r="Z10" s="53">
        <v>698</v>
      </c>
      <c r="AA10" s="53">
        <v>54.15</v>
      </c>
      <c r="AC10" s="53">
        <v>745</v>
      </c>
      <c r="AD10" s="53">
        <v>52.33</v>
      </c>
      <c r="AF10" s="53">
        <v>542</v>
      </c>
      <c r="AG10" s="53">
        <v>53.99</v>
      </c>
      <c r="AI10" s="53">
        <v>1122</v>
      </c>
      <c r="AJ10" s="53">
        <v>56.33</v>
      </c>
      <c r="AL10" s="38">
        <v>1629</v>
      </c>
      <c r="AM10" s="53">
        <v>56.5</v>
      </c>
      <c r="AO10" s="38">
        <v>614</v>
      </c>
      <c r="AP10" s="53">
        <v>56.36</v>
      </c>
      <c r="AR10" s="53">
        <v>538</v>
      </c>
      <c r="AS10" s="53">
        <v>55.29</v>
      </c>
      <c r="AU10" s="38">
        <v>1287</v>
      </c>
      <c r="AV10" s="38">
        <v>56.28</v>
      </c>
      <c r="AX10" s="38">
        <v>928</v>
      </c>
      <c r="AY10" s="38">
        <v>57.5</v>
      </c>
      <c r="BA10" s="38">
        <v>816</v>
      </c>
      <c r="BB10" s="53">
        <v>55.43</v>
      </c>
      <c r="BD10" s="38">
        <v>967</v>
      </c>
      <c r="BE10" s="38">
        <v>57.29</v>
      </c>
      <c r="BG10" s="53">
        <v>889</v>
      </c>
      <c r="BH10" s="53">
        <v>58.99</v>
      </c>
      <c r="BJ10" s="38">
        <v>765</v>
      </c>
      <c r="BK10" s="38">
        <v>58.13</v>
      </c>
      <c r="BM10" s="53">
        <v>980</v>
      </c>
      <c r="BN10" s="53">
        <v>54.33</v>
      </c>
      <c r="BP10" s="38">
        <v>616</v>
      </c>
      <c r="BQ10" s="38">
        <v>57.92</v>
      </c>
      <c r="BS10" s="38">
        <v>678</v>
      </c>
      <c r="BT10" s="38">
        <v>57.5</v>
      </c>
      <c r="BV10" s="38">
        <v>821</v>
      </c>
      <c r="BW10" s="38">
        <v>57.67</v>
      </c>
      <c r="BY10" s="53">
        <v>836</v>
      </c>
      <c r="BZ10" s="53">
        <v>56.51</v>
      </c>
      <c r="CB10" s="38">
        <v>551</v>
      </c>
      <c r="CC10" s="38">
        <v>55.94</v>
      </c>
      <c r="CE10" s="38">
        <v>886</v>
      </c>
      <c r="CF10" s="38">
        <v>55.97</v>
      </c>
    </row>
    <row r="11" spans="1:87" x14ac:dyDescent="0.35">
      <c r="A11" s="19" t="s">
        <v>119</v>
      </c>
      <c r="B11" s="39">
        <v>881</v>
      </c>
      <c r="C11" s="39">
        <v>52.62</v>
      </c>
      <c r="E11" s="38">
        <v>629</v>
      </c>
      <c r="F11" s="38">
        <v>59.04</v>
      </c>
      <c r="H11" s="38">
        <v>1122</v>
      </c>
      <c r="I11" s="38">
        <v>57.44</v>
      </c>
      <c r="K11" s="53">
        <v>757</v>
      </c>
      <c r="L11" s="53">
        <v>55.71</v>
      </c>
      <c r="N11" s="59">
        <v>961</v>
      </c>
      <c r="O11" s="59">
        <v>52.64</v>
      </c>
      <c r="Q11" s="38">
        <f t="shared" si="0"/>
        <v>1313</v>
      </c>
      <c r="R11" s="38">
        <v>53.6</v>
      </c>
      <c r="T11" s="38">
        <v>952</v>
      </c>
      <c r="U11" s="53">
        <v>50.66</v>
      </c>
      <c r="W11" s="53">
        <v>750</v>
      </c>
      <c r="X11" s="53">
        <v>48.31</v>
      </c>
      <c r="Z11" s="53">
        <v>978</v>
      </c>
      <c r="AA11" s="53">
        <v>54.5</v>
      </c>
      <c r="AC11" s="53">
        <v>846</v>
      </c>
      <c r="AD11" s="53">
        <v>53.19</v>
      </c>
      <c r="AF11" s="53">
        <v>616</v>
      </c>
      <c r="AG11" s="53">
        <v>54.08</v>
      </c>
      <c r="AI11" s="53">
        <v>1294</v>
      </c>
      <c r="AJ11" s="53">
        <v>56.32</v>
      </c>
      <c r="AK11" s="19" t="s">
        <v>54</v>
      </c>
      <c r="AL11" s="9">
        <v>1815</v>
      </c>
      <c r="AM11" s="39">
        <v>56.69</v>
      </c>
      <c r="AO11" s="38">
        <v>745</v>
      </c>
      <c r="AP11" s="53">
        <v>56.05</v>
      </c>
      <c r="AR11" s="53">
        <v>636</v>
      </c>
      <c r="AS11" s="53">
        <v>55.48</v>
      </c>
      <c r="AT11" s="13" t="s">
        <v>54</v>
      </c>
      <c r="AU11" s="40">
        <v>1532</v>
      </c>
      <c r="AV11" s="40">
        <v>56.69</v>
      </c>
      <c r="AX11" s="38">
        <v>1074</v>
      </c>
      <c r="AY11" s="38">
        <v>57.54</v>
      </c>
      <c r="BA11" s="38">
        <v>934</v>
      </c>
      <c r="BB11" s="53">
        <v>55.61</v>
      </c>
      <c r="BD11" s="38">
        <v>1116</v>
      </c>
      <c r="BE11" s="38">
        <v>58.61</v>
      </c>
      <c r="BG11" s="53">
        <v>982</v>
      </c>
      <c r="BH11" s="53">
        <v>59.06</v>
      </c>
      <c r="BJ11" s="38">
        <v>810</v>
      </c>
      <c r="BK11" s="38">
        <v>58.04</v>
      </c>
      <c r="BM11" s="53">
        <v>1125</v>
      </c>
      <c r="BN11" s="53">
        <v>54.72</v>
      </c>
      <c r="BP11" s="38">
        <v>678</v>
      </c>
      <c r="BQ11" s="38">
        <v>57.49</v>
      </c>
      <c r="BS11" s="38">
        <v>778</v>
      </c>
      <c r="BT11" s="38">
        <v>57.5</v>
      </c>
      <c r="BV11" s="38">
        <v>859</v>
      </c>
      <c r="BW11" s="38">
        <v>57.64</v>
      </c>
      <c r="BY11" s="53">
        <v>948</v>
      </c>
      <c r="BZ11" s="53">
        <v>56.91</v>
      </c>
      <c r="CB11" s="38">
        <v>631</v>
      </c>
      <c r="CC11" s="38">
        <v>55.59</v>
      </c>
      <c r="CE11" s="38">
        <v>980</v>
      </c>
      <c r="CF11" s="38">
        <v>56.89</v>
      </c>
    </row>
    <row r="12" spans="1:87" x14ac:dyDescent="0.35">
      <c r="B12" s="39">
        <v>912</v>
      </c>
      <c r="C12" s="39">
        <v>52.17</v>
      </c>
      <c r="E12" s="38">
        <v>726</v>
      </c>
      <c r="F12" s="38">
        <v>58.48</v>
      </c>
      <c r="H12" s="38">
        <v>1264</v>
      </c>
      <c r="I12" s="38">
        <v>57.18</v>
      </c>
      <c r="K12" s="53">
        <v>856</v>
      </c>
      <c r="L12" s="53">
        <v>55.81</v>
      </c>
      <c r="N12" s="59">
        <v>1090</v>
      </c>
      <c r="O12" s="59">
        <v>53.41</v>
      </c>
      <c r="Q12" s="38">
        <f t="shared" si="0"/>
        <v>1487</v>
      </c>
      <c r="R12" s="38">
        <v>53.47</v>
      </c>
      <c r="T12" s="38">
        <v>1146</v>
      </c>
      <c r="U12" s="53">
        <v>50.62</v>
      </c>
      <c r="W12" s="53">
        <v>840</v>
      </c>
      <c r="X12" s="53">
        <v>48.06</v>
      </c>
      <c r="Z12" s="53">
        <v>1068</v>
      </c>
      <c r="AA12" s="53">
        <v>54.61</v>
      </c>
      <c r="AC12" s="53">
        <v>925</v>
      </c>
      <c r="AD12" s="53">
        <v>53.64</v>
      </c>
      <c r="AF12" s="53">
        <v>681</v>
      </c>
      <c r="AG12" s="53">
        <v>53.18</v>
      </c>
      <c r="AI12" s="53">
        <v>1426</v>
      </c>
      <c r="AJ12" s="53">
        <v>56.39</v>
      </c>
      <c r="AL12" s="28"/>
      <c r="AO12" s="38">
        <v>1049</v>
      </c>
      <c r="AP12" s="53">
        <v>56.74</v>
      </c>
      <c r="AR12" s="53">
        <v>733</v>
      </c>
      <c r="AS12" s="53">
        <v>55.52</v>
      </c>
      <c r="AU12" s="28"/>
      <c r="AX12" s="38">
        <v>1348</v>
      </c>
      <c r="AY12" s="38">
        <v>57.55</v>
      </c>
      <c r="BA12" s="38">
        <v>1048</v>
      </c>
      <c r="BB12" s="53">
        <v>55.66</v>
      </c>
      <c r="BD12" s="38">
        <v>1205</v>
      </c>
      <c r="BE12" s="38">
        <v>57.92</v>
      </c>
      <c r="BG12" s="53">
        <v>1064</v>
      </c>
      <c r="BH12" s="53">
        <v>59.03</v>
      </c>
      <c r="BJ12" s="38">
        <v>881</v>
      </c>
      <c r="BK12" s="38">
        <v>57.74</v>
      </c>
      <c r="BM12" s="53">
        <v>1215</v>
      </c>
      <c r="BN12" s="53">
        <v>54.63</v>
      </c>
      <c r="BP12" s="38">
        <v>792</v>
      </c>
      <c r="BQ12" s="38">
        <v>57.13</v>
      </c>
      <c r="BS12" s="38">
        <v>876</v>
      </c>
      <c r="BT12" s="38">
        <v>57.53</v>
      </c>
      <c r="BV12" s="38">
        <v>902</v>
      </c>
      <c r="BW12" s="38">
        <v>57.69</v>
      </c>
      <c r="BY12" s="53">
        <v>1040</v>
      </c>
      <c r="BZ12" s="53">
        <v>57</v>
      </c>
      <c r="CB12" s="38">
        <v>738</v>
      </c>
      <c r="CC12" s="38">
        <v>55.99</v>
      </c>
      <c r="CE12" s="38">
        <v>1093</v>
      </c>
      <c r="CF12" s="38">
        <v>56.39</v>
      </c>
    </row>
    <row r="13" spans="1:87" x14ac:dyDescent="0.35">
      <c r="B13" s="38">
        <v>1024</v>
      </c>
      <c r="C13" s="38">
        <v>54.62</v>
      </c>
      <c r="E13" s="38">
        <v>859</v>
      </c>
      <c r="F13" s="38">
        <v>58.34</v>
      </c>
      <c r="H13" s="38">
        <v>1477</v>
      </c>
      <c r="I13" s="38">
        <v>57.79</v>
      </c>
      <c r="K13" s="53">
        <v>962</v>
      </c>
      <c r="L13" s="53">
        <v>55.41</v>
      </c>
      <c r="M13" s="19" t="s">
        <v>242</v>
      </c>
      <c r="N13" s="60">
        <v>1211</v>
      </c>
      <c r="O13" s="60">
        <v>52.82</v>
      </c>
      <c r="Q13" s="38">
        <f t="shared" si="0"/>
        <v>1646</v>
      </c>
      <c r="R13" s="38">
        <v>52.06</v>
      </c>
      <c r="T13" s="38">
        <v>1498</v>
      </c>
      <c r="U13" s="53">
        <v>52.744</v>
      </c>
      <c r="W13" s="53">
        <v>903</v>
      </c>
      <c r="X13" s="53">
        <v>47.78</v>
      </c>
      <c r="Z13" s="53">
        <v>1162</v>
      </c>
      <c r="AA13" s="53">
        <v>56.3</v>
      </c>
      <c r="AC13" s="53">
        <v>1097</v>
      </c>
      <c r="AD13" s="53">
        <v>53.72</v>
      </c>
      <c r="AF13" s="53">
        <v>763</v>
      </c>
      <c r="AG13" s="53">
        <v>52.57</v>
      </c>
      <c r="AH13" s="13" t="s">
        <v>54</v>
      </c>
      <c r="AI13" s="40">
        <v>1587</v>
      </c>
      <c r="AJ13" s="40">
        <v>57.45</v>
      </c>
      <c r="AL13" s="28"/>
      <c r="AO13" s="38">
        <v>1359</v>
      </c>
      <c r="AP13" s="53">
        <v>55.91</v>
      </c>
      <c r="AR13" s="53">
        <v>919</v>
      </c>
      <c r="AS13" s="53">
        <v>55.2</v>
      </c>
      <c r="AU13" s="28"/>
      <c r="AX13" s="38">
        <v>1512</v>
      </c>
      <c r="AY13" s="38">
        <v>57.11</v>
      </c>
      <c r="BA13" s="38">
        <v>1168</v>
      </c>
      <c r="BB13" s="53">
        <v>55.63</v>
      </c>
      <c r="BD13" s="38">
        <v>1318</v>
      </c>
      <c r="BE13" s="38">
        <v>59.12</v>
      </c>
      <c r="BG13" s="53">
        <v>1132</v>
      </c>
      <c r="BH13" s="53">
        <v>58.51</v>
      </c>
      <c r="BJ13" s="38">
        <v>922</v>
      </c>
      <c r="BK13" s="38">
        <v>57.72</v>
      </c>
      <c r="BM13" s="53">
        <v>1309</v>
      </c>
      <c r="BN13" s="53">
        <v>54.74</v>
      </c>
      <c r="BP13" s="38">
        <v>868</v>
      </c>
      <c r="BQ13" s="38">
        <v>57.04</v>
      </c>
      <c r="BS13" s="38">
        <v>978</v>
      </c>
      <c r="BT13" s="38">
        <v>57.5</v>
      </c>
      <c r="BV13" s="38">
        <v>967</v>
      </c>
      <c r="BW13" s="38">
        <v>56.46</v>
      </c>
      <c r="BY13" s="53">
        <v>1141</v>
      </c>
      <c r="BZ13" s="53">
        <v>57.06</v>
      </c>
      <c r="CB13" s="38">
        <v>851</v>
      </c>
      <c r="CC13" s="38">
        <v>56.11</v>
      </c>
      <c r="CE13" s="38">
        <v>1187</v>
      </c>
      <c r="CF13" s="38">
        <v>56.85</v>
      </c>
    </row>
    <row r="14" spans="1:87" x14ac:dyDescent="0.35">
      <c r="B14" s="38">
        <v>1119</v>
      </c>
      <c r="C14" s="38">
        <v>55.34</v>
      </c>
      <c r="E14" s="38">
        <v>959</v>
      </c>
      <c r="F14" s="38">
        <v>58.62</v>
      </c>
      <c r="H14" s="38">
        <v>1640</v>
      </c>
      <c r="I14" s="38">
        <v>57.2</v>
      </c>
      <c r="K14" s="53">
        <v>1048</v>
      </c>
      <c r="L14" s="53">
        <v>55.32</v>
      </c>
      <c r="N14" s="59">
        <v>1447</v>
      </c>
      <c r="O14" s="59">
        <v>52.21</v>
      </c>
      <c r="Q14" s="38">
        <f t="shared" si="0"/>
        <v>1742</v>
      </c>
      <c r="R14" s="38">
        <v>50.2</v>
      </c>
      <c r="T14" s="38">
        <v>1778</v>
      </c>
      <c r="U14" s="53">
        <v>53.57</v>
      </c>
      <c r="W14" s="53">
        <v>942</v>
      </c>
      <c r="X14" s="53">
        <v>47.1</v>
      </c>
      <c r="Z14" s="53">
        <v>1271</v>
      </c>
      <c r="AA14" s="53">
        <v>55.97</v>
      </c>
      <c r="AC14" s="53">
        <v>1203</v>
      </c>
      <c r="AD14" s="53">
        <v>54.15</v>
      </c>
      <c r="AF14" s="53">
        <v>854</v>
      </c>
      <c r="AG14" s="53">
        <v>54.11</v>
      </c>
      <c r="AO14" s="38">
        <v>1521</v>
      </c>
      <c r="AP14" s="53">
        <v>56.28</v>
      </c>
      <c r="AR14" s="53">
        <v>1126</v>
      </c>
      <c r="AS14" s="53">
        <v>55.14</v>
      </c>
      <c r="AU14" s="28"/>
      <c r="AX14" s="38">
        <v>1722</v>
      </c>
      <c r="AY14" s="38">
        <v>56.33</v>
      </c>
      <c r="BA14" s="38">
        <v>1374</v>
      </c>
      <c r="BB14" s="53">
        <v>56.12</v>
      </c>
      <c r="BD14" s="38">
        <v>1438</v>
      </c>
      <c r="BE14" s="38">
        <v>57.5</v>
      </c>
      <c r="BG14" s="53">
        <v>1165</v>
      </c>
      <c r="BH14" s="53">
        <v>59.3</v>
      </c>
      <c r="BJ14" s="38">
        <v>947</v>
      </c>
      <c r="BK14" s="38">
        <v>56.86</v>
      </c>
      <c r="BM14" s="53">
        <v>1409</v>
      </c>
      <c r="BN14" s="53">
        <v>54.68</v>
      </c>
      <c r="BP14" s="38">
        <v>958</v>
      </c>
      <c r="BQ14" s="38">
        <v>57.4</v>
      </c>
      <c r="BS14" s="38">
        <v>1073</v>
      </c>
      <c r="BT14" s="38">
        <v>57.74</v>
      </c>
      <c r="BV14" s="38">
        <v>1037</v>
      </c>
      <c r="BW14" s="38">
        <v>57.04</v>
      </c>
      <c r="BY14" s="53">
        <v>1226</v>
      </c>
      <c r="BZ14" s="53">
        <v>57.23</v>
      </c>
      <c r="CB14" s="38">
        <v>944</v>
      </c>
      <c r="CC14" s="38">
        <v>55.98</v>
      </c>
      <c r="CE14" s="38">
        <v>1280</v>
      </c>
      <c r="CF14" s="38">
        <v>56.89</v>
      </c>
    </row>
    <row r="15" spans="1:87" x14ac:dyDescent="0.35">
      <c r="B15" s="38">
        <v>1222</v>
      </c>
      <c r="C15" s="38">
        <v>56.88</v>
      </c>
      <c r="E15" s="38">
        <v>1023</v>
      </c>
      <c r="F15" s="38">
        <v>58.31</v>
      </c>
      <c r="H15" s="38">
        <v>1833</v>
      </c>
      <c r="I15" s="38">
        <v>55.02</v>
      </c>
      <c r="K15" s="53">
        <v>1072</v>
      </c>
      <c r="L15" s="53">
        <v>55.44</v>
      </c>
      <c r="N15" s="59">
        <v>1558</v>
      </c>
      <c r="O15" s="59">
        <v>51.89</v>
      </c>
      <c r="P15" s="13" t="s">
        <v>119</v>
      </c>
      <c r="Q15" s="40">
        <f t="shared" si="0"/>
        <v>1788</v>
      </c>
      <c r="R15" s="40">
        <v>48.87</v>
      </c>
      <c r="T15" s="38">
        <v>1960</v>
      </c>
      <c r="U15" s="53">
        <v>53.8</v>
      </c>
      <c r="V15" s="13" t="s">
        <v>119</v>
      </c>
      <c r="W15" s="40">
        <v>1101</v>
      </c>
      <c r="X15" s="40">
        <v>45.92</v>
      </c>
      <c r="Z15" s="53">
        <v>1373</v>
      </c>
      <c r="AA15" s="53">
        <v>55.99</v>
      </c>
      <c r="AC15" s="53">
        <v>1297</v>
      </c>
      <c r="AD15" s="53">
        <v>54.15</v>
      </c>
      <c r="AF15" s="53">
        <v>959</v>
      </c>
      <c r="AG15" s="53">
        <v>54.09</v>
      </c>
      <c r="AO15" s="38">
        <v>1683</v>
      </c>
      <c r="AP15" s="53">
        <v>56.34</v>
      </c>
      <c r="AR15" s="53">
        <v>1219</v>
      </c>
      <c r="AS15" s="53">
        <v>55.15</v>
      </c>
      <c r="AX15" s="38">
        <v>2015</v>
      </c>
      <c r="AY15" s="38">
        <v>56.32</v>
      </c>
      <c r="BA15" s="38">
        <v>1532</v>
      </c>
      <c r="BB15" s="53">
        <v>56.18</v>
      </c>
      <c r="BD15" s="38">
        <v>1667</v>
      </c>
      <c r="BE15" s="38">
        <v>57.59</v>
      </c>
      <c r="BG15" s="53">
        <v>1256</v>
      </c>
      <c r="BH15" s="53">
        <v>58.57</v>
      </c>
      <c r="BJ15" s="38">
        <v>959</v>
      </c>
      <c r="BK15" s="38">
        <v>57.44</v>
      </c>
      <c r="BL15" s="13" t="s">
        <v>110</v>
      </c>
      <c r="BM15" s="40">
        <v>1487</v>
      </c>
      <c r="BN15" s="40">
        <v>54.57</v>
      </c>
      <c r="BP15" s="38">
        <v>1040</v>
      </c>
      <c r="BQ15" s="38">
        <v>57.41</v>
      </c>
      <c r="BS15" s="38">
        <v>1169</v>
      </c>
      <c r="BT15" s="38">
        <v>57.62</v>
      </c>
      <c r="BV15" s="38">
        <v>1094</v>
      </c>
      <c r="BW15" s="38">
        <v>57.48</v>
      </c>
      <c r="BY15" s="53">
        <v>1308</v>
      </c>
      <c r="BZ15" s="53">
        <v>57.86</v>
      </c>
      <c r="CB15" s="38">
        <v>1075</v>
      </c>
      <c r="CC15" s="38">
        <v>56.19</v>
      </c>
      <c r="CE15" s="38">
        <v>1376</v>
      </c>
      <c r="CF15" s="38">
        <v>57.21</v>
      </c>
    </row>
    <row r="16" spans="1:87" x14ac:dyDescent="0.35">
      <c r="B16" s="38">
        <v>1328</v>
      </c>
      <c r="C16" s="38">
        <v>56.31</v>
      </c>
      <c r="E16" s="38">
        <v>1123</v>
      </c>
      <c r="F16" s="38">
        <v>57.8</v>
      </c>
      <c r="H16" s="38">
        <v>2072</v>
      </c>
      <c r="I16" s="38">
        <v>53.51</v>
      </c>
      <c r="K16" s="53">
        <v>1168</v>
      </c>
      <c r="L16" s="53">
        <v>55.78</v>
      </c>
      <c r="N16" s="59">
        <v>1684</v>
      </c>
      <c r="O16" s="59">
        <v>51.61</v>
      </c>
      <c r="Q16" s="40">
        <f t="shared" si="0"/>
        <v>1823</v>
      </c>
      <c r="R16" s="40">
        <v>49.11</v>
      </c>
      <c r="T16" s="38">
        <v>2145</v>
      </c>
      <c r="U16" s="53">
        <v>53.2</v>
      </c>
      <c r="W16" s="40">
        <v>1136</v>
      </c>
      <c r="X16" s="40">
        <v>47.47</v>
      </c>
      <c r="Z16" s="53">
        <v>1474</v>
      </c>
      <c r="AA16" s="53">
        <v>56.2</v>
      </c>
      <c r="AC16" s="53">
        <v>1558</v>
      </c>
      <c r="AD16" s="53">
        <v>55.4</v>
      </c>
      <c r="AF16" s="53">
        <v>1025</v>
      </c>
      <c r="AG16" s="53">
        <v>54.79</v>
      </c>
      <c r="AO16" s="38">
        <v>2218</v>
      </c>
      <c r="AP16" s="53">
        <v>57.11</v>
      </c>
      <c r="AR16" s="53">
        <v>1254</v>
      </c>
      <c r="AS16" s="53">
        <v>55.43</v>
      </c>
      <c r="AX16" s="38">
        <v>2088</v>
      </c>
      <c r="AY16" s="38">
        <v>56.27</v>
      </c>
      <c r="BA16" s="38">
        <v>1614</v>
      </c>
      <c r="BB16" s="53">
        <v>56.25</v>
      </c>
      <c r="BD16" s="38">
        <v>1758</v>
      </c>
      <c r="BE16" s="38">
        <v>57.62</v>
      </c>
      <c r="BG16" s="53">
        <v>1487</v>
      </c>
      <c r="BH16" s="53">
        <v>58.11</v>
      </c>
      <c r="BJ16" s="38">
        <v>1010</v>
      </c>
      <c r="BK16" s="38">
        <v>57.42</v>
      </c>
      <c r="BM16" s="40">
        <v>1572</v>
      </c>
      <c r="BN16" s="40">
        <v>54.69</v>
      </c>
      <c r="BP16" s="38">
        <v>1070</v>
      </c>
      <c r="BQ16" s="38">
        <v>57.26</v>
      </c>
      <c r="BR16" s="13" t="s">
        <v>211</v>
      </c>
      <c r="BS16" s="40">
        <v>1269</v>
      </c>
      <c r="BT16" s="40">
        <v>58.18</v>
      </c>
      <c r="BV16" s="38">
        <v>1158</v>
      </c>
      <c r="BW16" s="38">
        <v>57.05</v>
      </c>
      <c r="BY16" s="53">
        <v>1402</v>
      </c>
      <c r="BZ16" s="53">
        <v>57.78</v>
      </c>
      <c r="CB16" s="38">
        <v>1170</v>
      </c>
      <c r="CC16" s="38">
        <v>56.43</v>
      </c>
      <c r="CE16" s="38">
        <v>1628</v>
      </c>
      <c r="CF16" s="38">
        <v>57.91</v>
      </c>
    </row>
    <row r="17" spans="1:84" x14ac:dyDescent="0.35">
      <c r="B17" s="38">
        <v>1421</v>
      </c>
      <c r="C17" s="38">
        <v>55.97</v>
      </c>
      <c r="E17" s="38">
        <v>1227</v>
      </c>
      <c r="F17" s="38">
        <v>57.95</v>
      </c>
      <c r="H17" s="38">
        <v>2317</v>
      </c>
      <c r="I17" s="38">
        <v>52.06</v>
      </c>
      <c r="K17" s="53">
        <v>1309</v>
      </c>
      <c r="L17" s="53">
        <v>56.04</v>
      </c>
      <c r="N17" s="59">
        <v>1789</v>
      </c>
      <c r="O17" s="59">
        <v>51.05</v>
      </c>
      <c r="Q17" s="38">
        <f t="shared" si="0"/>
        <v>1910</v>
      </c>
      <c r="R17" s="38">
        <v>50.74</v>
      </c>
      <c r="T17" s="38">
        <v>2251</v>
      </c>
      <c r="U17" s="53">
        <v>51.74</v>
      </c>
      <c r="W17" s="53">
        <v>1215</v>
      </c>
      <c r="X17" s="53">
        <v>50.59</v>
      </c>
      <c r="Z17" s="53">
        <v>1552</v>
      </c>
      <c r="AA17" s="53">
        <v>56.17</v>
      </c>
      <c r="AC17" s="53">
        <v>1639</v>
      </c>
      <c r="AD17" s="53">
        <v>55.84</v>
      </c>
      <c r="AF17" s="53">
        <v>1155</v>
      </c>
      <c r="AG17" s="53">
        <v>54.49</v>
      </c>
      <c r="AO17" s="38">
        <v>2428</v>
      </c>
      <c r="AP17" s="53">
        <v>56.33</v>
      </c>
      <c r="AQ17" s="19" t="s">
        <v>200</v>
      </c>
      <c r="AR17" s="39">
        <v>1297</v>
      </c>
      <c r="AS17" s="39">
        <v>55.07</v>
      </c>
      <c r="AW17" s="19" t="s">
        <v>54</v>
      </c>
      <c r="AX17" s="39">
        <v>2271</v>
      </c>
      <c r="AY17" s="39">
        <v>57.45</v>
      </c>
      <c r="BA17" s="38">
        <v>1708</v>
      </c>
      <c r="BB17" s="53">
        <v>56.31</v>
      </c>
      <c r="BD17" s="38">
        <v>1863</v>
      </c>
      <c r="BE17" s="38">
        <v>57.6</v>
      </c>
      <c r="BG17" s="53">
        <v>1551</v>
      </c>
      <c r="BH17" s="53">
        <v>57.91</v>
      </c>
      <c r="BJ17" s="38">
        <v>1072</v>
      </c>
      <c r="BK17" s="38">
        <v>57.52</v>
      </c>
      <c r="BM17" s="53">
        <v>1686</v>
      </c>
      <c r="BN17" s="53">
        <v>54.96</v>
      </c>
      <c r="BP17" s="38">
        <v>1133</v>
      </c>
      <c r="BQ17" s="38">
        <v>56.85</v>
      </c>
      <c r="BS17" s="38">
        <v>1456</v>
      </c>
      <c r="BT17" s="38">
        <v>57.59</v>
      </c>
      <c r="BV17" s="38">
        <v>1213</v>
      </c>
      <c r="BW17" s="38">
        <v>57.16</v>
      </c>
      <c r="BY17" s="53">
        <v>1492</v>
      </c>
      <c r="BZ17" s="53">
        <v>57.97</v>
      </c>
      <c r="CB17" s="38">
        <v>1283</v>
      </c>
      <c r="CC17" s="38">
        <v>56.82</v>
      </c>
      <c r="CE17" s="38">
        <v>1739</v>
      </c>
      <c r="CF17" s="38">
        <v>59.08</v>
      </c>
    </row>
    <row r="18" spans="1:84" x14ac:dyDescent="0.35">
      <c r="B18" s="38">
        <v>1510</v>
      </c>
      <c r="C18" s="38">
        <v>55.75</v>
      </c>
      <c r="E18" s="38">
        <v>1329</v>
      </c>
      <c r="F18" s="38">
        <v>58.6</v>
      </c>
      <c r="H18" s="38">
        <v>2466</v>
      </c>
      <c r="I18" s="38">
        <v>49.87</v>
      </c>
      <c r="K18" s="53">
        <v>1370</v>
      </c>
      <c r="L18" s="53">
        <v>55.94</v>
      </c>
      <c r="N18" s="59">
        <v>1900</v>
      </c>
      <c r="O18" s="59">
        <v>50.87</v>
      </c>
      <c r="Q18" s="38">
        <f t="shared" si="0"/>
        <v>2027</v>
      </c>
      <c r="R18" s="38">
        <v>52.05</v>
      </c>
      <c r="T18" s="38">
        <v>2341</v>
      </c>
      <c r="U18" s="53">
        <v>51.17</v>
      </c>
      <c r="W18" s="53">
        <v>1315</v>
      </c>
      <c r="X18" s="53">
        <v>49.62</v>
      </c>
      <c r="Y18" s="19" t="s">
        <v>194</v>
      </c>
      <c r="Z18" s="9">
        <v>1622</v>
      </c>
      <c r="AA18" s="9">
        <v>56.36</v>
      </c>
      <c r="AC18" s="53">
        <v>1697</v>
      </c>
      <c r="AD18" s="53">
        <v>56.05</v>
      </c>
      <c r="AF18" s="53">
        <v>1360</v>
      </c>
      <c r="AG18" s="53">
        <v>55.6</v>
      </c>
      <c r="AO18" s="38">
        <v>2750</v>
      </c>
      <c r="AP18" s="53">
        <v>56.39</v>
      </c>
      <c r="AR18" s="53">
        <v>1412</v>
      </c>
      <c r="AS18" s="53">
        <v>55.43</v>
      </c>
      <c r="AX18" s="28"/>
      <c r="BA18" s="38">
        <v>1873</v>
      </c>
      <c r="BB18" s="53">
        <v>56.7</v>
      </c>
      <c r="BD18" s="38">
        <v>1990</v>
      </c>
      <c r="BE18" s="38">
        <v>57.45</v>
      </c>
      <c r="BG18" s="53">
        <v>1568</v>
      </c>
      <c r="BH18" s="53">
        <v>58.31</v>
      </c>
      <c r="BJ18" s="38">
        <v>1166</v>
      </c>
      <c r="BK18" s="38">
        <v>57.21</v>
      </c>
      <c r="BM18" s="53">
        <v>1790</v>
      </c>
      <c r="BN18" s="53">
        <v>54.89</v>
      </c>
      <c r="BP18" s="38">
        <v>1183</v>
      </c>
      <c r="BQ18" s="38">
        <v>57.78</v>
      </c>
      <c r="BS18" s="38">
        <v>1546</v>
      </c>
      <c r="BT18" s="38">
        <v>57.66</v>
      </c>
      <c r="BU18" s="19" t="s">
        <v>209</v>
      </c>
      <c r="BV18" s="39">
        <v>1288</v>
      </c>
      <c r="BW18" s="39">
        <v>55.87</v>
      </c>
      <c r="BY18" s="53">
        <v>1567</v>
      </c>
      <c r="BZ18" s="53">
        <v>57.8</v>
      </c>
      <c r="CB18" s="38">
        <v>1389</v>
      </c>
      <c r="CC18" s="38">
        <v>57.37</v>
      </c>
      <c r="CE18" s="38">
        <v>1831</v>
      </c>
      <c r="CF18" s="38">
        <v>58.81</v>
      </c>
    </row>
    <row r="19" spans="1:84" x14ac:dyDescent="0.35">
      <c r="A19" s="19" t="s">
        <v>191</v>
      </c>
      <c r="B19" s="39">
        <v>1579</v>
      </c>
      <c r="C19" s="39">
        <v>55.65</v>
      </c>
      <c r="E19" s="38">
        <v>1455</v>
      </c>
      <c r="F19" s="38">
        <v>58.6</v>
      </c>
      <c r="H19" s="38">
        <v>2502</v>
      </c>
      <c r="I19" s="38">
        <v>49.11</v>
      </c>
      <c r="K19" s="53">
        <v>1560</v>
      </c>
      <c r="L19" s="53">
        <v>54.72</v>
      </c>
      <c r="N19" s="59">
        <v>2052</v>
      </c>
      <c r="O19" s="59">
        <v>50.66</v>
      </c>
      <c r="Q19" s="38">
        <f t="shared" si="0"/>
        <v>2123</v>
      </c>
      <c r="R19" s="38">
        <v>52.96</v>
      </c>
      <c r="S19" s="19" t="s">
        <v>119</v>
      </c>
      <c r="T19" s="39">
        <v>2456</v>
      </c>
      <c r="U19" s="39">
        <v>49.87</v>
      </c>
      <c r="W19" s="53">
        <v>1418</v>
      </c>
      <c r="X19" s="53">
        <v>49.78</v>
      </c>
      <c r="Z19" s="38">
        <f>W34-$W$33+$Z$18</f>
        <v>1884</v>
      </c>
      <c r="AA19" s="53">
        <v>56.35</v>
      </c>
      <c r="AB19" s="13" t="s">
        <v>195</v>
      </c>
      <c r="AC19" s="40">
        <v>1722</v>
      </c>
      <c r="AD19" s="40">
        <v>56</v>
      </c>
      <c r="AF19" s="53">
        <v>1451</v>
      </c>
      <c r="AG19" s="53">
        <v>55.55</v>
      </c>
      <c r="AN19" s="13" t="s">
        <v>54</v>
      </c>
      <c r="AO19" s="40">
        <v>2907</v>
      </c>
      <c r="AP19" s="40">
        <v>57.45</v>
      </c>
      <c r="AR19" s="53">
        <v>1530</v>
      </c>
      <c r="AS19" s="53">
        <v>55.61</v>
      </c>
      <c r="AX19" s="28"/>
      <c r="BA19" s="38">
        <v>2062</v>
      </c>
      <c r="BB19" s="53">
        <v>56.93</v>
      </c>
      <c r="BC19" s="19" t="s">
        <v>205</v>
      </c>
      <c r="BD19" s="9">
        <v>2212</v>
      </c>
      <c r="BE19" s="39">
        <v>57.54</v>
      </c>
      <c r="BG19" s="53">
        <v>1606</v>
      </c>
      <c r="BH19" s="53">
        <v>57.48</v>
      </c>
      <c r="BJ19" s="38">
        <v>1265</v>
      </c>
      <c r="BK19" s="38">
        <v>56.95</v>
      </c>
      <c r="BM19" s="53">
        <v>1892</v>
      </c>
      <c r="BN19" s="53">
        <v>54.43</v>
      </c>
      <c r="BP19" s="38">
        <v>1340</v>
      </c>
      <c r="BQ19" s="38">
        <v>57.43</v>
      </c>
      <c r="BS19" s="38">
        <v>1781</v>
      </c>
      <c r="BT19" s="38">
        <v>57.5</v>
      </c>
      <c r="BV19" s="38">
        <v>1512</v>
      </c>
      <c r="BW19" s="38">
        <v>55.13</v>
      </c>
      <c r="BY19" s="53">
        <v>1669</v>
      </c>
      <c r="BZ19" s="53">
        <v>57.11</v>
      </c>
      <c r="CB19" s="38">
        <v>1435</v>
      </c>
      <c r="CC19" s="38">
        <v>55.6</v>
      </c>
      <c r="CE19" s="38">
        <v>1924</v>
      </c>
      <c r="CF19" s="38">
        <v>58.2</v>
      </c>
    </row>
    <row r="20" spans="1:84" x14ac:dyDescent="0.35">
      <c r="B20" s="38">
        <v>1742</v>
      </c>
      <c r="C20" s="38">
        <v>56.36</v>
      </c>
      <c r="E20" s="38">
        <v>1549</v>
      </c>
      <c r="F20" s="38">
        <v>58.09</v>
      </c>
      <c r="H20" s="38">
        <v>2583</v>
      </c>
      <c r="I20" s="38">
        <v>50.74</v>
      </c>
      <c r="K20" s="53">
        <v>1747</v>
      </c>
      <c r="L20" s="53">
        <v>55.63</v>
      </c>
      <c r="N20" s="59">
        <v>2246</v>
      </c>
      <c r="O20" s="59">
        <v>50.62</v>
      </c>
      <c r="Q20" s="38">
        <f t="shared" si="0"/>
        <v>2359</v>
      </c>
      <c r="R20" s="38">
        <v>54.11</v>
      </c>
      <c r="T20" s="39">
        <v>2487</v>
      </c>
      <c r="U20" s="39">
        <v>49.11</v>
      </c>
      <c r="W20" s="53">
        <v>1527</v>
      </c>
      <c r="X20" s="53">
        <v>50.21</v>
      </c>
      <c r="Z20" s="38">
        <f t="shared" ref="Z20:Z27" si="1">W35-$W$33+$Z$18</f>
        <v>2055</v>
      </c>
      <c r="AA20" s="53">
        <v>56.39</v>
      </c>
      <c r="AC20" s="53">
        <v>1964</v>
      </c>
      <c r="AD20" s="53">
        <v>56.36</v>
      </c>
      <c r="AF20" s="53">
        <v>1658</v>
      </c>
      <c r="AG20" s="53">
        <v>55.52</v>
      </c>
      <c r="AO20" s="28"/>
      <c r="AR20" s="53">
        <v>1644</v>
      </c>
      <c r="AS20" s="53">
        <v>55.66</v>
      </c>
      <c r="AX20" s="28"/>
      <c r="BA20" s="38">
        <v>2239</v>
      </c>
      <c r="BB20" s="53">
        <v>56.78</v>
      </c>
      <c r="BD20" s="38">
        <v>2279</v>
      </c>
      <c r="BE20" s="38">
        <v>57.49</v>
      </c>
      <c r="BF20" s="13" t="s">
        <v>209</v>
      </c>
      <c r="BG20" s="40">
        <v>1623</v>
      </c>
      <c r="BH20" s="40">
        <v>57.48</v>
      </c>
      <c r="BJ20" s="38">
        <v>1388</v>
      </c>
      <c r="BK20" s="38">
        <v>57.21</v>
      </c>
      <c r="BM20" s="53">
        <v>2022</v>
      </c>
      <c r="BN20" s="53">
        <v>55.01</v>
      </c>
      <c r="BO20" s="19" t="s">
        <v>204</v>
      </c>
      <c r="BP20" s="39">
        <v>1409</v>
      </c>
      <c r="BQ20" s="39">
        <v>57.64</v>
      </c>
      <c r="BS20" s="38">
        <v>1995</v>
      </c>
      <c r="BT20" s="38">
        <v>57.58</v>
      </c>
      <c r="BV20" s="38">
        <v>1648</v>
      </c>
      <c r="BW20" s="38">
        <v>55.9</v>
      </c>
      <c r="BY20" s="53">
        <v>1922</v>
      </c>
      <c r="BZ20" s="53">
        <v>57.74</v>
      </c>
      <c r="CB20" s="38">
        <v>1453</v>
      </c>
      <c r="CC20" s="38">
        <v>58.56</v>
      </c>
      <c r="CE20" s="38">
        <v>1997</v>
      </c>
      <c r="CF20" s="38">
        <v>58.43</v>
      </c>
    </row>
    <row r="21" spans="1:84" x14ac:dyDescent="0.35">
      <c r="B21" s="38">
        <v>1925</v>
      </c>
      <c r="C21" s="38">
        <v>57.8</v>
      </c>
      <c r="E21" s="38">
        <v>1602</v>
      </c>
      <c r="F21" s="38">
        <v>58.2</v>
      </c>
      <c r="H21" s="38">
        <v>2700</v>
      </c>
      <c r="I21" s="38">
        <v>52.05</v>
      </c>
      <c r="K21" s="53">
        <v>1941</v>
      </c>
      <c r="L21" s="53">
        <v>55.77</v>
      </c>
      <c r="N21" s="59">
        <v>2598</v>
      </c>
      <c r="O21" s="59">
        <v>52.744</v>
      </c>
      <c r="Q21" s="38">
        <f t="shared" si="0"/>
        <v>2465</v>
      </c>
      <c r="R21" s="38">
        <v>54.09</v>
      </c>
      <c r="T21" s="38">
        <v>2571</v>
      </c>
      <c r="U21" s="53">
        <v>50.74</v>
      </c>
      <c r="W21" s="53">
        <v>1620</v>
      </c>
      <c r="X21" s="53">
        <v>51.19</v>
      </c>
      <c r="Z21" s="38">
        <f t="shared" si="1"/>
        <v>2299</v>
      </c>
      <c r="AA21" s="53">
        <v>55.91</v>
      </c>
      <c r="AC21" s="53">
        <v>2095</v>
      </c>
      <c r="AD21" s="53">
        <v>56.05</v>
      </c>
      <c r="AF21" s="53">
        <v>1748</v>
      </c>
      <c r="AG21" s="53">
        <v>55.63</v>
      </c>
      <c r="AO21" s="28"/>
      <c r="AR21" s="53">
        <v>1764</v>
      </c>
      <c r="AS21" s="53">
        <v>55.63</v>
      </c>
      <c r="AX21" s="28"/>
      <c r="BA21" s="38">
        <v>2443</v>
      </c>
      <c r="BB21" s="53">
        <v>56.8</v>
      </c>
      <c r="BD21" s="38">
        <v>2405</v>
      </c>
      <c r="BE21" s="38">
        <v>57.49</v>
      </c>
      <c r="BG21" s="38">
        <v>1855</v>
      </c>
      <c r="BH21" s="38">
        <v>57.62</v>
      </c>
      <c r="BJ21" s="38">
        <v>1503</v>
      </c>
      <c r="BK21" s="38">
        <v>56.42</v>
      </c>
      <c r="BM21" s="53">
        <v>2148</v>
      </c>
      <c r="BN21" s="53">
        <v>54.52</v>
      </c>
      <c r="BP21" s="38">
        <v>1537</v>
      </c>
      <c r="BQ21" s="38">
        <v>57.42</v>
      </c>
      <c r="BS21" s="38">
        <v>2296</v>
      </c>
      <c r="BT21" s="38">
        <v>57.17</v>
      </c>
      <c r="BV21" s="38">
        <v>1838</v>
      </c>
      <c r="BW21" s="38">
        <v>57.61</v>
      </c>
      <c r="BY21" s="53">
        <v>2026</v>
      </c>
      <c r="BZ21" s="53">
        <v>56.83</v>
      </c>
      <c r="CB21" s="38">
        <v>1539</v>
      </c>
      <c r="CC21" s="38">
        <v>58.34</v>
      </c>
      <c r="CE21" s="38">
        <v>2107</v>
      </c>
      <c r="CF21" s="38">
        <v>58.1</v>
      </c>
    </row>
    <row r="22" spans="1:84" x14ac:dyDescent="0.35">
      <c r="B22" s="38">
        <v>2097</v>
      </c>
      <c r="C22" s="38">
        <v>57.56</v>
      </c>
      <c r="E22" s="38">
        <v>1701</v>
      </c>
      <c r="F22" s="38">
        <v>57.97</v>
      </c>
      <c r="H22" s="38">
        <v>2794</v>
      </c>
      <c r="I22" s="38">
        <v>52.96</v>
      </c>
      <c r="K22" s="53">
        <v>2068</v>
      </c>
      <c r="L22" s="53">
        <v>55.63</v>
      </c>
      <c r="N22" s="59">
        <v>2878</v>
      </c>
      <c r="O22" s="59">
        <v>53.57</v>
      </c>
      <c r="Q22" s="38">
        <f t="shared" si="0"/>
        <v>2534</v>
      </c>
      <c r="R22" s="38">
        <v>54.79</v>
      </c>
      <c r="T22" s="38">
        <v>2688</v>
      </c>
      <c r="U22" s="53">
        <v>52.05</v>
      </c>
      <c r="W22" s="53">
        <v>1701</v>
      </c>
      <c r="X22" s="53">
        <v>51.05</v>
      </c>
      <c r="Z22" s="38">
        <f t="shared" si="1"/>
        <v>2659</v>
      </c>
      <c r="AA22" s="53">
        <v>56.6</v>
      </c>
      <c r="AC22" s="53">
        <v>2399</v>
      </c>
      <c r="AD22" s="53">
        <v>56.74</v>
      </c>
      <c r="AF22" s="53">
        <v>1878</v>
      </c>
      <c r="AG22" s="53">
        <v>56.21</v>
      </c>
      <c r="AO22" s="28"/>
      <c r="AR22" s="53">
        <v>1970</v>
      </c>
      <c r="AS22" s="53">
        <v>56.12</v>
      </c>
      <c r="AX22" s="28"/>
      <c r="BA22" s="38">
        <v>2722</v>
      </c>
      <c r="BB22" s="53">
        <v>56.28</v>
      </c>
      <c r="BD22" s="38">
        <v>2578</v>
      </c>
      <c r="BE22" s="38">
        <v>57.5</v>
      </c>
      <c r="BG22" s="38">
        <v>2054</v>
      </c>
      <c r="BH22" s="38">
        <v>57.6</v>
      </c>
      <c r="BJ22" s="38">
        <v>1613</v>
      </c>
      <c r="BK22" s="38">
        <v>56.42</v>
      </c>
      <c r="BM22" s="53">
        <v>2250</v>
      </c>
      <c r="BN22" s="53">
        <v>54.73</v>
      </c>
      <c r="BP22" s="38">
        <v>1642</v>
      </c>
      <c r="BQ22" s="38">
        <v>57.53</v>
      </c>
      <c r="BS22" s="38">
        <v>2507</v>
      </c>
      <c r="BT22" s="38">
        <v>57.19</v>
      </c>
      <c r="BV22" s="38">
        <v>2037</v>
      </c>
      <c r="BW22" s="38">
        <v>58.47</v>
      </c>
      <c r="BY22" s="53">
        <v>2127</v>
      </c>
      <c r="BZ22" s="53">
        <v>56.57</v>
      </c>
      <c r="CB22" s="38">
        <v>1630</v>
      </c>
      <c r="CC22" s="38">
        <v>57.57</v>
      </c>
      <c r="CE22" s="38">
        <v>2250</v>
      </c>
      <c r="CF22" s="38">
        <v>57.87</v>
      </c>
    </row>
    <row r="23" spans="1:84" x14ac:dyDescent="0.35">
      <c r="B23" s="38">
        <v>2264</v>
      </c>
      <c r="C23" s="38">
        <v>57.42</v>
      </c>
      <c r="E23" s="38">
        <v>1803</v>
      </c>
      <c r="F23" s="38">
        <v>57.54</v>
      </c>
      <c r="H23" s="38">
        <v>2942</v>
      </c>
      <c r="I23" s="38">
        <v>52.57</v>
      </c>
      <c r="K23" s="53">
        <v>2247</v>
      </c>
      <c r="L23" s="53">
        <v>53.81</v>
      </c>
      <c r="N23" s="59">
        <v>3060</v>
      </c>
      <c r="O23" s="59">
        <v>53.8</v>
      </c>
      <c r="Q23" s="38">
        <f t="shared" si="0"/>
        <v>2688</v>
      </c>
      <c r="R23" s="38">
        <v>55.03</v>
      </c>
      <c r="T23" s="38">
        <v>2783</v>
      </c>
      <c r="U23" s="53">
        <v>52.96</v>
      </c>
      <c r="W23" s="53">
        <v>1790</v>
      </c>
      <c r="X23" s="53">
        <v>51.84</v>
      </c>
      <c r="Z23" s="38">
        <f t="shared" si="1"/>
        <v>3060</v>
      </c>
      <c r="AA23" s="53">
        <v>57.69</v>
      </c>
      <c r="AC23" s="53">
        <v>2709</v>
      </c>
      <c r="AD23" s="53">
        <v>55.91</v>
      </c>
      <c r="AF23" s="53">
        <v>1938</v>
      </c>
      <c r="AG23" s="53">
        <v>56.17</v>
      </c>
      <c r="AR23" s="53">
        <v>2128</v>
      </c>
      <c r="AS23" s="53">
        <v>56.18</v>
      </c>
      <c r="AX23" s="28"/>
      <c r="BA23" s="38">
        <v>2888</v>
      </c>
      <c r="BB23" s="53">
        <v>56.34</v>
      </c>
      <c r="BD23" s="38">
        <v>2732</v>
      </c>
      <c r="BE23" s="38">
        <v>57.5</v>
      </c>
      <c r="BG23" s="38">
        <v>2177</v>
      </c>
      <c r="BH23" s="38">
        <v>57.45</v>
      </c>
      <c r="BJ23" s="38">
        <v>1694</v>
      </c>
      <c r="BK23" s="38">
        <v>57.71</v>
      </c>
      <c r="BM23" s="53">
        <v>2360</v>
      </c>
      <c r="BN23" s="53">
        <v>53.85</v>
      </c>
      <c r="BP23" s="38">
        <v>1787</v>
      </c>
      <c r="BQ23" s="38">
        <v>57.49</v>
      </c>
      <c r="BS23" s="38">
        <v>2643</v>
      </c>
      <c r="BT23" s="38">
        <v>57.38</v>
      </c>
      <c r="BV23" s="38">
        <v>2186</v>
      </c>
      <c r="BW23" s="38">
        <v>61.28</v>
      </c>
      <c r="BY23" s="53">
        <v>2409</v>
      </c>
      <c r="BZ23" s="53">
        <v>55.13</v>
      </c>
      <c r="CB23" s="38">
        <v>1755</v>
      </c>
      <c r="CC23" s="38">
        <v>57.5</v>
      </c>
      <c r="CE23" s="38">
        <v>2343</v>
      </c>
      <c r="CF23" s="38">
        <v>57.36</v>
      </c>
    </row>
    <row r="24" spans="1:84" x14ac:dyDescent="0.35">
      <c r="B24" s="38">
        <v>2371</v>
      </c>
      <c r="C24" s="38">
        <v>57.44</v>
      </c>
      <c r="D24" s="13" t="s">
        <v>189</v>
      </c>
      <c r="E24" s="40">
        <v>1855</v>
      </c>
      <c r="F24" s="40">
        <v>56.89</v>
      </c>
      <c r="H24" s="38">
        <v>3034</v>
      </c>
      <c r="I24" s="38">
        <v>54.11</v>
      </c>
      <c r="J24" s="13" t="s">
        <v>119</v>
      </c>
      <c r="K24" s="40">
        <v>2370</v>
      </c>
      <c r="L24" s="40">
        <v>47.42</v>
      </c>
      <c r="N24" s="59">
        <v>3245</v>
      </c>
      <c r="O24" s="59">
        <v>53.2</v>
      </c>
      <c r="Q24" s="38">
        <f t="shared" si="0"/>
        <v>2798</v>
      </c>
      <c r="R24" s="38">
        <v>55.69</v>
      </c>
      <c r="T24" s="38">
        <v>2909</v>
      </c>
      <c r="U24" s="53">
        <v>52.7</v>
      </c>
      <c r="W24" s="53">
        <v>1896</v>
      </c>
      <c r="X24" s="53">
        <v>53.83</v>
      </c>
      <c r="Z24" s="38">
        <f t="shared" si="1"/>
        <v>3226</v>
      </c>
      <c r="AA24" s="53">
        <v>57.11</v>
      </c>
      <c r="AC24" s="53">
        <v>2871</v>
      </c>
      <c r="AD24" s="53">
        <v>56.28</v>
      </c>
      <c r="AF24" s="53">
        <v>2022</v>
      </c>
      <c r="AG24" s="53">
        <v>56.42</v>
      </c>
      <c r="AR24" s="53">
        <v>2210</v>
      </c>
      <c r="AS24" s="53">
        <v>56.25</v>
      </c>
      <c r="AX24" s="28"/>
      <c r="BA24" s="38">
        <v>3244</v>
      </c>
      <c r="BB24" s="53">
        <v>57.79</v>
      </c>
      <c r="BD24" s="38">
        <v>2878</v>
      </c>
      <c r="BE24" s="38">
        <v>57.54</v>
      </c>
      <c r="BG24" s="38">
        <v>2316</v>
      </c>
      <c r="BH24" s="38">
        <v>57.8</v>
      </c>
      <c r="BJ24" s="38">
        <v>1907</v>
      </c>
      <c r="BK24" s="38">
        <v>58.45</v>
      </c>
      <c r="BM24" s="53">
        <v>2472</v>
      </c>
      <c r="BN24" s="53">
        <v>54.18</v>
      </c>
      <c r="BP24" s="38">
        <v>1882</v>
      </c>
      <c r="BQ24" s="38">
        <v>57.4</v>
      </c>
      <c r="BS24" s="38">
        <v>2859</v>
      </c>
      <c r="BT24" s="38">
        <v>57.66</v>
      </c>
      <c r="BV24" s="38">
        <v>2450</v>
      </c>
      <c r="BW24" s="38">
        <v>57.52</v>
      </c>
      <c r="BY24" s="53">
        <v>2627</v>
      </c>
      <c r="BZ24" s="53">
        <v>57.13</v>
      </c>
      <c r="CB24" s="38">
        <v>1881</v>
      </c>
      <c r="CC24" s="38">
        <v>57.82</v>
      </c>
      <c r="CE24" s="38">
        <v>2446</v>
      </c>
      <c r="CF24" s="38">
        <v>57.34</v>
      </c>
    </row>
    <row r="25" spans="1:84" x14ac:dyDescent="0.35">
      <c r="B25" s="38">
        <v>2513</v>
      </c>
      <c r="C25" s="38">
        <v>57.18</v>
      </c>
      <c r="E25" s="38">
        <v>2047</v>
      </c>
      <c r="F25" s="38">
        <v>56.81</v>
      </c>
      <c r="H25" s="38">
        <v>3188</v>
      </c>
      <c r="I25" s="38">
        <v>54.89</v>
      </c>
      <c r="K25" s="40">
        <v>2408</v>
      </c>
      <c r="L25" s="40">
        <v>49.71</v>
      </c>
      <c r="N25" s="59">
        <v>3351</v>
      </c>
      <c r="O25" s="59">
        <v>51.74</v>
      </c>
      <c r="Q25" s="38">
        <f t="shared" si="0"/>
        <v>2961</v>
      </c>
      <c r="R25" s="38">
        <v>55.55</v>
      </c>
      <c r="T25" s="38">
        <v>3025</v>
      </c>
      <c r="U25" s="53">
        <v>54.64</v>
      </c>
      <c r="W25" s="53">
        <v>1977</v>
      </c>
      <c r="X25" s="53">
        <v>53.34</v>
      </c>
      <c r="Z25" s="38">
        <f t="shared" si="1"/>
        <v>3429</v>
      </c>
      <c r="AA25" s="53">
        <v>56.33</v>
      </c>
      <c r="AC25" s="53">
        <v>3033</v>
      </c>
      <c r="AD25" s="53">
        <v>56.34</v>
      </c>
      <c r="AF25" s="53">
        <v>2105</v>
      </c>
      <c r="AG25" s="53">
        <v>56.4</v>
      </c>
      <c r="AR25" s="53">
        <v>2304</v>
      </c>
      <c r="AS25" s="53">
        <v>56.31</v>
      </c>
      <c r="AX25" s="28"/>
      <c r="BA25" s="38">
        <v>3420</v>
      </c>
      <c r="BB25" s="53">
        <v>57.11</v>
      </c>
      <c r="BD25" s="38">
        <v>3152</v>
      </c>
      <c r="BE25" s="38">
        <v>57.55</v>
      </c>
      <c r="BG25" s="38">
        <v>2512</v>
      </c>
      <c r="BH25" s="38">
        <v>57.56</v>
      </c>
      <c r="BJ25" s="38">
        <v>2106</v>
      </c>
      <c r="BK25" s="38">
        <v>57.3</v>
      </c>
      <c r="BM25" s="53">
        <v>2591</v>
      </c>
      <c r="BN25" s="53">
        <v>54.96</v>
      </c>
      <c r="BP25" s="38">
        <v>2094</v>
      </c>
      <c r="BQ25" s="38">
        <v>57.31</v>
      </c>
      <c r="BS25" s="38">
        <v>2956</v>
      </c>
      <c r="BT25" s="38">
        <v>58.06</v>
      </c>
      <c r="BV25" s="38">
        <v>2569</v>
      </c>
      <c r="BW25" s="38">
        <v>57.5</v>
      </c>
      <c r="BY25" s="53">
        <v>2730</v>
      </c>
      <c r="BZ25" s="53">
        <v>57.61</v>
      </c>
      <c r="CB25" s="38">
        <v>1979</v>
      </c>
      <c r="CC25" s="38">
        <v>59.16</v>
      </c>
      <c r="CE25" s="38">
        <v>2611</v>
      </c>
      <c r="CF25" s="38">
        <v>57.83</v>
      </c>
    </row>
    <row r="26" spans="1:84" x14ac:dyDescent="0.35">
      <c r="B26" s="38">
        <v>2726</v>
      </c>
      <c r="C26" s="38">
        <v>57.79</v>
      </c>
      <c r="E26" s="38">
        <v>2276</v>
      </c>
      <c r="F26" s="38">
        <v>56.23</v>
      </c>
      <c r="H26" s="38">
        <v>3364</v>
      </c>
      <c r="I26" s="38">
        <v>56.03</v>
      </c>
      <c r="K26" s="53">
        <v>2506</v>
      </c>
      <c r="L26" s="53">
        <v>50.72</v>
      </c>
      <c r="N26" s="59">
        <v>3441</v>
      </c>
      <c r="O26" s="59">
        <v>51.17</v>
      </c>
      <c r="Q26" s="38">
        <f t="shared" si="0"/>
        <v>3106</v>
      </c>
      <c r="R26" s="38">
        <v>55.52</v>
      </c>
      <c r="T26" s="38">
        <v>3120</v>
      </c>
      <c r="U26" s="53">
        <v>54.71</v>
      </c>
      <c r="W26" s="53">
        <v>2053</v>
      </c>
      <c r="X26" s="53">
        <v>53.5</v>
      </c>
      <c r="Z26" s="38">
        <f t="shared" si="1"/>
        <v>3785</v>
      </c>
      <c r="AA26" s="53">
        <v>56.27</v>
      </c>
      <c r="AC26" s="53">
        <v>3568</v>
      </c>
      <c r="AD26" s="53">
        <v>57.11</v>
      </c>
      <c r="AE26" s="19" t="s">
        <v>198</v>
      </c>
      <c r="AF26" s="39">
        <v>1157</v>
      </c>
      <c r="AG26" s="39">
        <v>56.56</v>
      </c>
      <c r="AR26" s="53">
        <v>2469</v>
      </c>
      <c r="AS26" s="53">
        <v>56.7</v>
      </c>
      <c r="AX26" s="28"/>
      <c r="BA26" s="38">
        <v>3631</v>
      </c>
      <c r="BB26" s="53">
        <v>56.33</v>
      </c>
      <c r="BD26" s="38">
        <v>3316</v>
      </c>
      <c r="BE26" s="38">
        <v>57.11</v>
      </c>
      <c r="BG26" s="38">
        <v>2766</v>
      </c>
      <c r="BH26" s="38">
        <v>57.5</v>
      </c>
      <c r="BJ26" s="38">
        <v>2173</v>
      </c>
      <c r="BK26" s="38">
        <v>57.29</v>
      </c>
      <c r="BM26" s="53">
        <v>2683</v>
      </c>
      <c r="BN26" s="53">
        <v>55.32</v>
      </c>
      <c r="BP26" s="38">
        <v>2231</v>
      </c>
      <c r="BQ26" s="38">
        <v>57.29</v>
      </c>
      <c r="BS26" s="38">
        <v>3200</v>
      </c>
      <c r="BT26" s="38">
        <v>57.92</v>
      </c>
      <c r="BV26" s="38">
        <v>2749</v>
      </c>
      <c r="BW26" s="38">
        <v>57.5</v>
      </c>
      <c r="BY26" s="53">
        <v>2822</v>
      </c>
      <c r="BZ26" s="53">
        <v>57.48</v>
      </c>
      <c r="CB26" s="38">
        <v>2169</v>
      </c>
      <c r="CC26" s="38">
        <v>58.86</v>
      </c>
      <c r="CE26" s="38">
        <v>2702</v>
      </c>
      <c r="CF26" s="38">
        <v>57.88</v>
      </c>
    </row>
    <row r="27" spans="1:84" x14ac:dyDescent="0.35">
      <c r="B27" s="38">
        <v>2889</v>
      </c>
      <c r="C27" s="38">
        <v>57.2</v>
      </c>
      <c r="E27" s="38">
        <v>2497</v>
      </c>
      <c r="F27" s="38">
        <v>55.87</v>
      </c>
      <c r="H27" s="38">
        <v>3481</v>
      </c>
      <c r="I27" s="38">
        <v>55.69</v>
      </c>
      <c r="K27" s="53">
        <v>2540</v>
      </c>
      <c r="L27" s="53">
        <v>51.31</v>
      </c>
      <c r="M27" s="19" t="s">
        <v>64</v>
      </c>
      <c r="N27" s="60">
        <v>3556</v>
      </c>
      <c r="O27" s="60">
        <v>49.87</v>
      </c>
      <c r="Q27" s="38">
        <f t="shared" si="0"/>
        <v>3256</v>
      </c>
      <c r="R27" s="38">
        <v>55.63</v>
      </c>
      <c r="T27" s="38">
        <v>3204</v>
      </c>
      <c r="U27" s="53">
        <v>56.25</v>
      </c>
      <c r="W27" s="53">
        <v>2136</v>
      </c>
      <c r="X27" s="53">
        <v>54.25</v>
      </c>
      <c r="Y27" s="19" t="s">
        <v>54</v>
      </c>
      <c r="Z27" s="9">
        <f t="shared" si="1"/>
        <v>3938</v>
      </c>
      <c r="AA27" s="9">
        <v>57.45</v>
      </c>
      <c r="AC27" s="53">
        <v>3778</v>
      </c>
      <c r="AD27" s="53">
        <v>56.33</v>
      </c>
      <c r="AF27" s="53">
        <v>2328</v>
      </c>
      <c r="AG27" s="53">
        <v>56.54</v>
      </c>
      <c r="AR27" s="53">
        <v>2658</v>
      </c>
      <c r="AS27" s="53">
        <v>56.93</v>
      </c>
      <c r="AX27" s="28"/>
      <c r="BA27" s="38">
        <v>3849</v>
      </c>
      <c r="BB27" s="53">
        <v>56.32</v>
      </c>
      <c r="BD27" s="38">
        <v>3526</v>
      </c>
      <c r="BE27" s="38">
        <v>56.33</v>
      </c>
      <c r="BG27" s="38">
        <v>2888</v>
      </c>
      <c r="BH27" s="38">
        <v>57.54</v>
      </c>
      <c r="BI27" s="19" t="s">
        <v>202</v>
      </c>
      <c r="BJ27" s="39">
        <v>2189</v>
      </c>
      <c r="BK27" s="39">
        <v>57.1</v>
      </c>
      <c r="BM27" s="53">
        <v>2797</v>
      </c>
      <c r="BN27" s="53">
        <v>56.14</v>
      </c>
      <c r="BP27" s="38">
        <v>2380</v>
      </c>
      <c r="BQ27" s="38">
        <v>58.61</v>
      </c>
      <c r="BS27" s="38">
        <v>3231</v>
      </c>
      <c r="BT27" s="38">
        <v>57.85</v>
      </c>
      <c r="BV27" s="38">
        <v>3049</v>
      </c>
      <c r="BW27" s="38">
        <v>57.5</v>
      </c>
      <c r="BY27" s="53">
        <v>2931</v>
      </c>
      <c r="BZ27" s="53">
        <v>58.47</v>
      </c>
      <c r="CB27" s="38">
        <v>2264</v>
      </c>
      <c r="CC27" s="38">
        <v>58.96</v>
      </c>
      <c r="CE27" s="38">
        <v>2801</v>
      </c>
      <c r="CF27" s="38">
        <v>57.07</v>
      </c>
    </row>
    <row r="28" spans="1:84" x14ac:dyDescent="0.35">
      <c r="B28" s="38">
        <v>3082</v>
      </c>
      <c r="C28" s="38">
        <v>55.02</v>
      </c>
      <c r="E28" s="38">
        <v>2676</v>
      </c>
      <c r="F28" s="38">
        <v>54.63</v>
      </c>
      <c r="H28" s="38">
        <v>3632</v>
      </c>
      <c r="I28" s="38">
        <v>55.55</v>
      </c>
      <c r="K28" s="53">
        <v>2633</v>
      </c>
      <c r="L28" s="53">
        <v>53.97</v>
      </c>
      <c r="N28" s="60">
        <v>3587</v>
      </c>
      <c r="O28" s="60">
        <v>49.11</v>
      </c>
      <c r="Q28" s="38">
        <f t="shared" si="0"/>
        <v>3387</v>
      </c>
      <c r="R28" s="38">
        <v>56.21</v>
      </c>
      <c r="T28" s="38">
        <v>3351</v>
      </c>
      <c r="U28" s="53">
        <v>55.03</v>
      </c>
      <c r="W28" s="53">
        <v>2245</v>
      </c>
      <c r="X28" s="53">
        <v>54.49</v>
      </c>
      <c r="Z28" s="28"/>
      <c r="AC28" s="53">
        <v>4100</v>
      </c>
      <c r="AD28" s="53">
        <v>56.39</v>
      </c>
      <c r="AF28" s="53">
        <v>2542</v>
      </c>
      <c r="AG28" s="53">
        <v>56.5</v>
      </c>
      <c r="AR28" s="53">
        <v>2835</v>
      </c>
      <c r="AS28" s="53">
        <v>56.78</v>
      </c>
      <c r="AX28" s="28"/>
      <c r="BA28" s="38">
        <v>3989</v>
      </c>
      <c r="BB28" s="53">
        <v>56.27</v>
      </c>
      <c r="BD28" s="38">
        <v>3819</v>
      </c>
      <c r="BE28" s="38">
        <v>56.32</v>
      </c>
      <c r="BG28" s="38">
        <v>2994</v>
      </c>
      <c r="BH28" s="38">
        <v>57.55</v>
      </c>
      <c r="BJ28" s="38">
        <v>2308</v>
      </c>
      <c r="BK28" s="38">
        <v>57.02</v>
      </c>
      <c r="BM28" s="53">
        <v>2890</v>
      </c>
      <c r="BN28" s="53">
        <v>56.22</v>
      </c>
      <c r="BP28" s="38">
        <v>2469</v>
      </c>
      <c r="BQ28" s="38">
        <v>57.92</v>
      </c>
      <c r="BS28" s="38">
        <v>3452</v>
      </c>
      <c r="BT28" s="38">
        <v>58.05</v>
      </c>
      <c r="BV28" s="38">
        <v>3320</v>
      </c>
      <c r="BW28" s="38">
        <v>57.14</v>
      </c>
      <c r="BX28" s="13" t="s">
        <v>212</v>
      </c>
      <c r="BY28" s="40">
        <v>3051</v>
      </c>
      <c r="BZ28" s="40">
        <v>59.18</v>
      </c>
      <c r="CB28" s="38">
        <v>2362</v>
      </c>
      <c r="CC28" s="38">
        <v>59.05</v>
      </c>
      <c r="CE28" s="38">
        <v>2889</v>
      </c>
      <c r="CF28" s="38">
        <v>56.33</v>
      </c>
    </row>
    <row r="29" spans="1:84" x14ac:dyDescent="0.35">
      <c r="B29" s="38">
        <v>3321</v>
      </c>
      <c r="C29" s="38">
        <v>53.51</v>
      </c>
      <c r="E29" s="38">
        <v>2898</v>
      </c>
      <c r="F29" s="38">
        <v>53.6</v>
      </c>
      <c r="H29" s="38">
        <v>3806</v>
      </c>
      <c r="I29" s="38">
        <v>55.6</v>
      </c>
      <c r="K29" s="53">
        <v>2729</v>
      </c>
      <c r="L29" s="53">
        <v>53.63</v>
      </c>
      <c r="N29" s="59">
        <v>3671</v>
      </c>
      <c r="O29" s="59">
        <v>50.74</v>
      </c>
      <c r="Q29" s="38">
        <f t="shared" si="0"/>
        <v>3532</v>
      </c>
      <c r="R29" s="38">
        <v>56.42</v>
      </c>
      <c r="T29" s="38">
        <v>3413</v>
      </c>
      <c r="U29" s="53">
        <v>55.79</v>
      </c>
      <c r="W29" s="53">
        <v>2346</v>
      </c>
      <c r="X29" s="53">
        <v>54.58</v>
      </c>
      <c r="Z29" s="28"/>
      <c r="AB29" s="13" t="s">
        <v>54</v>
      </c>
      <c r="AC29" s="40">
        <v>4257</v>
      </c>
      <c r="AD29" s="40">
        <v>57.45</v>
      </c>
      <c r="AE29" s="19" t="s">
        <v>54</v>
      </c>
      <c r="AF29" s="39">
        <v>2728</v>
      </c>
      <c r="AG29" s="39">
        <v>56.69</v>
      </c>
      <c r="AR29" s="53">
        <v>3039</v>
      </c>
      <c r="AS29" s="53">
        <v>56.8</v>
      </c>
      <c r="AX29" s="28"/>
      <c r="AZ29" s="13" t="s">
        <v>54</v>
      </c>
      <c r="BA29" s="15">
        <v>4132</v>
      </c>
      <c r="BB29" s="15">
        <v>57.47</v>
      </c>
      <c r="BD29" s="38">
        <v>3892</v>
      </c>
      <c r="BE29" s="38">
        <v>56.27</v>
      </c>
      <c r="BG29" s="38">
        <v>3107</v>
      </c>
      <c r="BH29" s="38">
        <v>57.51</v>
      </c>
      <c r="BJ29" s="38">
        <v>2628</v>
      </c>
      <c r="BK29" s="38">
        <v>56.72</v>
      </c>
      <c r="BM29" s="53">
        <v>2973</v>
      </c>
      <c r="BN29" s="53">
        <v>56.91</v>
      </c>
      <c r="BP29" s="38">
        <v>2582</v>
      </c>
      <c r="BQ29" s="38">
        <v>59.12</v>
      </c>
      <c r="BS29" s="38">
        <v>3745</v>
      </c>
      <c r="BT29" s="38">
        <v>59.12</v>
      </c>
      <c r="BV29" s="38">
        <v>3504</v>
      </c>
      <c r="BW29" s="38">
        <v>57.59</v>
      </c>
      <c r="BY29" s="53">
        <v>3353</v>
      </c>
      <c r="BZ29" s="53">
        <v>57.52</v>
      </c>
      <c r="CB29" s="38">
        <v>2446</v>
      </c>
      <c r="CC29" s="38">
        <v>59.11</v>
      </c>
      <c r="CE29" s="38">
        <v>2967</v>
      </c>
      <c r="CF29" s="38">
        <v>56.35</v>
      </c>
    </row>
    <row r="30" spans="1:84" x14ac:dyDescent="0.35">
      <c r="B30" s="38">
        <v>3566</v>
      </c>
      <c r="C30" s="38">
        <v>52.06</v>
      </c>
      <c r="E30" s="38">
        <v>3072</v>
      </c>
      <c r="F30" s="38">
        <v>53.47</v>
      </c>
      <c r="H30" s="38">
        <v>4023</v>
      </c>
      <c r="I30" s="38">
        <v>57.01</v>
      </c>
      <c r="K30" s="53">
        <v>2925</v>
      </c>
      <c r="L30" s="53">
        <v>53.83</v>
      </c>
      <c r="N30" s="59">
        <v>3788</v>
      </c>
      <c r="O30" s="59">
        <v>52.05</v>
      </c>
      <c r="Q30" s="38">
        <f t="shared" si="0"/>
        <v>3786</v>
      </c>
      <c r="R30" s="38">
        <v>56.58</v>
      </c>
      <c r="T30" s="38">
        <v>3505</v>
      </c>
      <c r="U30" s="53">
        <v>55.73</v>
      </c>
      <c r="W30" s="53">
        <v>2605</v>
      </c>
      <c r="X30" s="53">
        <v>55.4</v>
      </c>
      <c r="AR30" s="53">
        <v>3318</v>
      </c>
      <c r="AS30" s="53">
        <v>56.28</v>
      </c>
      <c r="AX30" s="28"/>
      <c r="BA30" s="28"/>
      <c r="BC30" s="19" t="s">
        <v>54</v>
      </c>
      <c r="BD30" s="9">
        <v>4075</v>
      </c>
      <c r="BE30" s="39">
        <v>57.45</v>
      </c>
      <c r="BG30" s="38">
        <v>3299</v>
      </c>
      <c r="BH30" s="38">
        <v>57.55</v>
      </c>
      <c r="BJ30" s="38">
        <v>2913</v>
      </c>
      <c r="BK30" s="38">
        <v>57.097999999999999</v>
      </c>
      <c r="BM30" s="53">
        <v>3075</v>
      </c>
      <c r="BN30" s="53">
        <v>57.16</v>
      </c>
      <c r="BP30" s="38">
        <v>2702</v>
      </c>
      <c r="BQ30" s="38">
        <v>57.5</v>
      </c>
      <c r="BS30" s="38">
        <v>3861</v>
      </c>
      <c r="BT30" s="38">
        <v>57.5</v>
      </c>
      <c r="BV30" s="38">
        <v>3689</v>
      </c>
      <c r="BW30" s="38">
        <v>57.8</v>
      </c>
      <c r="BY30" s="53">
        <v>3463</v>
      </c>
      <c r="BZ30" s="53">
        <v>57.5</v>
      </c>
      <c r="CB30" s="38">
        <v>2505</v>
      </c>
      <c r="CC30" s="38">
        <v>59.05</v>
      </c>
      <c r="CE30" s="38">
        <v>3044</v>
      </c>
      <c r="CF30" s="38">
        <v>56.61</v>
      </c>
    </row>
    <row r="31" spans="1:84" x14ac:dyDescent="0.35">
      <c r="A31" s="19" t="s">
        <v>64</v>
      </c>
      <c r="B31" s="39">
        <v>3715</v>
      </c>
      <c r="C31" s="39">
        <v>49.87</v>
      </c>
      <c r="E31" s="38">
        <v>3231</v>
      </c>
      <c r="F31" s="38">
        <v>52.06</v>
      </c>
      <c r="H31" s="38">
        <v>4126</v>
      </c>
      <c r="I31" s="38">
        <v>56.7</v>
      </c>
      <c r="K31" s="53">
        <v>3100</v>
      </c>
      <c r="L31" s="53">
        <v>53.05</v>
      </c>
      <c r="N31" s="59">
        <v>3883</v>
      </c>
      <c r="O31" s="59">
        <v>52.96</v>
      </c>
      <c r="P31" s="13" t="s">
        <v>54</v>
      </c>
      <c r="Q31" s="40">
        <f t="shared" si="0"/>
        <v>4189</v>
      </c>
      <c r="R31" s="40">
        <v>56.69</v>
      </c>
      <c r="T31" s="38">
        <v>3647</v>
      </c>
      <c r="U31" s="53">
        <v>55.81</v>
      </c>
      <c r="W31" s="53">
        <v>2763</v>
      </c>
      <c r="X31" s="53">
        <v>56</v>
      </c>
      <c r="AR31" s="53">
        <v>3484</v>
      </c>
      <c r="AS31" s="53">
        <v>56.34</v>
      </c>
      <c r="AX31" s="28"/>
      <c r="BA31" s="28"/>
      <c r="BD31" s="28"/>
      <c r="BG31" s="38">
        <v>3487</v>
      </c>
      <c r="BH31" s="38">
        <v>56.23</v>
      </c>
      <c r="BJ31" s="38">
        <v>3091</v>
      </c>
      <c r="BK31" s="38">
        <v>56.53</v>
      </c>
      <c r="BM31" s="53">
        <v>3167</v>
      </c>
      <c r="BN31" s="53">
        <v>57.57</v>
      </c>
      <c r="BP31" s="38">
        <v>2931</v>
      </c>
      <c r="BQ31" s="38">
        <v>57.59</v>
      </c>
      <c r="BS31" s="38">
        <v>4183</v>
      </c>
      <c r="BT31" s="38">
        <v>57.62</v>
      </c>
      <c r="BV31" s="38">
        <v>3848</v>
      </c>
      <c r="BW31" s="38">
        <v>57.57</v>
      </c>
      <c r="BY31" s="53">
        <v>3620</v>
      </c>
      <c r="BZ31" s="53">
        <v>57.44</v>
      </c>
      <c r="CB31" s="38">
        <v>2632</v>
      </c>
      <c r="CC31" s="38">
        <v>58.95</v>
      </c>
      <c r="CD31" s="13" t="s">
        <v>207</v>
      </c>
      <c r="CE31" s="40">
        <v>3065</v>
      </c>
      <c r="CF31" s="40">
        <v>55.87</v>
      </c>
    </row>
    <row r="32" spans="1:84" x14ac:dyDescent="0.35">
      <c r="B32" s="39">
        <v>3751</v>
      </c>
      <c r="C32" s="39">
        <v>49.11</v>
      </c>
      <c r="E32" s="38">
        <v>3327</v>
      </c>
      <c r="F32" s="38">
        <v>50.2</v>
      </c>
      <c r="H32" s="38">
        <v>4287</v>
      </c>
      <c r="I32" s="38">
        <v>56.55</v>
      </c>
      <c r="K32" s="53">
        <v>3206</v>
      </c>
      <c r="L32" s="53">
        <v>53.2</v>
      </c>
      <c r="N32" s="59">
        <v>4009</v>
      </c>
      <c r="O32" s="59">
        <v>52.7</v>
      </c>
      <c r="Q32" s="28"/>
      <c r="T32" s="38">
        <v>3715</v>
      </c>
      <c r="U32" s="53">
        <v>55.55</v>
      </c>
      <c r="W32" s="53">
        <v>2866</v>
      </c>
      <c r="X32" s="53">
        <v>56.67</v>
      </c>
      <c r="AR32" s="53">
        <v>3840</v>
      </c>
      <c r="AS32" s="53">
        <v>57.79</v>
      </c>
      <c r="AX32" s="28"/>
      <c r="BA32" s="28"/>
      <c r="BD32" s="28"/>
      <c r="BG32" s="38">
        <v>3880</v>
      </c>
      <c r="BH32" s="38">
        <v>56.28</v>
      </c>
      <c r="BJ32" s="38">
        <v>3227</v>
      </c>
      <c r="BK32" s="38">
        <v>57.06</v>
      </c>
      <c r="BM32" s="53">
        <v>3245</v>
      </c>
      <c r="BN32" s="53">
        <v>59.47</v>
      </c>
      <c r="BP32" s="38">
        <v>3022</v>
      </c>
      <c r="BQ32" s="38">
        <v>57.62</v>
      </c>
      <c r="BS32" s="38">
        <v>4416</v>
      </c>
      <c r="BT32" s="38">
        <v>57.45</v>
      </c>
      <c r="BV32" s="38">
        <v>4053</v>
      </c>
      <c r="BW32" s="38">
        <v>57.58</v>
      </c>
      <c r="BY32" s="53">
        <v>3808</v>
      </c>
      <c r="BZ32" s="53">
        <v>57.5</v>
      </c>
      <c r="CB32" s="38">
        <v>2738</v>
      </c>
      <c r="CC32" s="38">
        <v>58.04</v>
      </c>
      <c r="CE32" s="38">
        <v>3289</v>
      </c>
      <c r="CF32" s="38">
        <v>55.13</v>
      </c>
    </row>
    <row r="33" spans="1:84" x14ac:dyDescent="0.35">
      <c r="B33" s="38">
        <v>3832</v>
      </c>
      <c r="C33" s="38">
        <v>50.74</v>
      </c>
      <c r="D33" s="13" t="s">
        <v>119</v>
      </c>
      <c r="E33" s="40">
        <v>3373</v>
      </c>
      <c r="F33" s="40">
        <v>48.87</v>
      </c>
      <c r="H33" s="38">
        <v>4744</v>
      </c>
      <c r="I33" s="38">
        <v>56.27</v>
      </c>
      <c r="K33" s="53">
        <v>3325</v>
      </c>
      <c r="L33" s="53">
        <v>52.17</v>
      </c>
      <c r="N33" s="59">
        <v>4125</v>
      </c>
      <c r="O33" s="59">
        <v>54.64</v>
      </c>
      <c r="Q33" s="28"/>
      <c r="T33" s="38">
        <v>3838</v>
      </c>
      <c r="U33" s="53">
        <v>55.62</v>
      </c>
      <c r="V33" s="13" t="s">
        <v>193</v>
      </c>
      <c r="W33" s="38">
        <v>3015</v>
      </c>
      <c r="X33" s="40">
        <v>56.36</v>
      </c>
      <c r="AR33" s="53">
        <v>4016</v>
      </c>
      <c r="AS33" s="53">
        <v>57.11</v>
      </c>
      <c r="BA33" s="28"/>
      <c r="BD33" s="28"/>
      <c r="BG33" s="38">
        <v>3980</v>
      </c>
      <c r="BH33" s="38">
        <v>56.55</v>
      </c>
      <c r="BJ33" s="38">
        <v>3418</v>
      </c>
      <c r="BK33" s="38">
        <v>56.28</v>
      </c>
      <c r="BL33" s="13" t="s">
        <v>213</v>
      </c>
      <c r="BM33" s="40">
        <v>3285</v>
      </c>
      <c r="BN33" s="40">
        <v>59.18</v>
      </c>
      <c r="BP33" s="38">
        <v>3127</v>
      </c>
      <c r="BQ33" s="38">
        <v>57.6</v>
      </c>
      <c r="BS33" s="38">
        <v>4703</v>
      </c>
      <c r="BT33" s="38">
        <v>57.49</v>
      </c>
      <c r="BV33" s="38">
        <v>4240</v>
      </c>
      <c r="BW33" s="38">
        <v>57.32</v>
      </c>
      <c r="BY33" s="53">
        <v>3949</v>
      </c>
      <c r="BZ33" s="53">
        <v>57.5</v>
      </c>
      <c r="CB33" s="38">
        <v>2917</v>
      </c>
      <c r="CC33" s="38">
        <v>57.14</v>
      </c>
      <c r="CE33" s="38">
        <v>3425</v>
      </c>
      <c r="CF33" s="38">
        <v>55.9</v>
      </c>
    </row>
    <row r="34" spans="1:84" x14ac:dyDescent="0.35">
      <c r="B34" s="38">
        <v>3949</v>
      </c>
      <c r="C34" s="38">
        <v>52.05</v>
      </c>
      <c r="E34" s="40">
        <v>3408</v>
      </c>
      <c r="F34" s="40">
        <v>49.11</v>
      </c>
      <c r="G34" s="19" t="s">
        <v>54</v>
      </c>
      <c r="H34" s="9">
        <v>4821</v>
      </c>
      <c r="I34" s="39">
        <v>56.69</v>
      </c>
      <c r="K34" s="53">
        <v>3420</v>
      </c>
      <c r="L34" s="53">
        <v>52.08</v>
      </c>
      <c r="N34" s="59">
        <v>4220</v>
      </c>
      <c r="O34" s="59">
        <v>54.71</v>
      </c>
      <c r="Q34" s="28"/>
      <c r="T34" s="38">
        <v>4045</v>
      </c>
      <c r="U34" s="53">
        <v>56.62</v>
      </c>
      <c r="W34" s="38">
        <v>3277</v>
      </c>
      <c r="X34" s="53">
        <v>56.35</v>
      </c>
      <c r="AR34" s="53">
        <v>4227</v>
      </c>
      <c r="AS34" s="53">
        <v>56.33</v>
      </c>
      <c r="BG34" s="38">
        <v>4155</v>
      </c>
      <c r="BH34" s="38">
        <v>56.27</v>
      </c>
      <c r="BI34" s="19" t="s">
        <v>54</v>
      </c>
      <c r="BJ34" s="39">
        <v>3663</v>
      </c>
      <c r="BK34" s="39">
        <v>56.69</v>
      </c>
      <c r="BM34" s="38">
        <v>3587</v>
      </c>
      <c r="BN34" s="53">
        <v>57.52</v>
      </c>
      <c r="BP34" s="38">
        <v>3254</v>
      </c>
      <c r="BQ34" s="38">
        <v>57.45</v>
      </c>
      <c r="BS34" s="38">
        <v>4833</v>
      </c>
      <c r="BT34" s="38">
        <v>57.49</v>
      </c>
      <c r="BV34" s="38">
        <v>4448</v>
      </c>
      <c r="BW34" s="38">
        <v>57.53</v>
      </c>
      <c r="BY34" s="53">
        <v>4299</v>
      </c>
      <c r="BZ34" s="53">
        <v>57.92</v>
      </c>
      <c r="CA34" s="19" t="s">
        <v>210</v>
      </c>
      <c r="CB34" s="39">
        <v>2937</v>
      </c>
      <c r="CC34" s="39">
        <v>58.18</v>
      </c>
      <c r="CE34" s="38">
        <v>3615</v>
      </c>
      <c r="CF34" s="38">
        <v>57.61</v>
      </c>
    </row>
    <row r="35" spans="1:84" x14ac:dyDescent="0.35">
      <c r="B35" s="38">
        <v>4043</v>
      </c>
      <c r="C35" s="38">
        <v>52.96</v>
      </c>
      <c r="E35" s="38">
        <v>3495</v>
      </c>
      <c r="F35" s="38">
        <v>50.74</v>
      </c>
      <c r="H35" s="28"/>
      <c r="K35" s="53">
        <v>3584</v>
      </c>
      <c r="L35" s="53">
        <v>52.01</v>
      </c>
      <c r="N35" s="59">
        <v>4304</v>
      </c>
      <c r="O35" s="59">
        <v>56.25</v>
      </c>
      <c r="Q35" s="28"/>
      <c r="T35" s="38">
        <v>4276</v>
      </c>
      <c r="U35" s="53">
        <v>56.4</v>
      </c>
      <c r="W35" s="38">
        <v>3448</v>
      </c>
      <c r="X35" s="53">
        <v>56.39</v>
      </c>
      <c r="AR35" s="53">
        <v>4445</v>
      </c>
      <c r="AS35" s="53">
        <v>56.32</v>
      </c>
      <c r="BF35" s="13" t="s">
        <v>54</v>
      </c>
      <c r="BG35" s="40">
        <v>4252</v>
      </c>
      <c r="BH35" s="40">
        <v>57.45</v>
      </c>
      <c r="BM35" s="38">
        <v>3697</v>
      </c>
      <c r="BN35" s="53">
        <v>57.5</v>
      </c>
      <c r="BO35" s="19" t="s">
        <v>205</v>
      </c>
      <c r="BP35" s="39">
        <v>3476</v>
      </c>
      <c r="BQ35" s="39">
        <v>57.54</v>
      </c>
      <c r="BS35" s="38">
        <v>5002</v>
      </c>
      <c r="BT35" s="38">
        <v>57.5</v>
      </c>
      <c r="BV35" s="38">
        <v>4743</v>
      </c>
      <c r="BW35" s="38">
        <v>57.7</v>
      </c>
      <c r="BY35" s="53">
        <v>4413</v>
      </c>
      <c r="BZ35" s="53">
        <v>57.59</v>
      </c>
      <c r="CB35" s="38">
        <v>3124</v>
      </c>
      <c r="CC35" s="38">
        <v>57.59</v>
      </c>
      <c r="CE35" s="38">
        <v>3814</v>
      </c>
      <c r="CF35" s="38">
        <v>58.47</v>
      </c>
    </row>
    <row r="36" spans="1:84" x14ac:dyDescent="0.35">
      <c r="B36" s="38">
        <v>4191</v>
      </c>
      <c r="C36" s="38">
        <v>52.57</v>
      </c>
      <c r="E36" s="38">
        <v>3612</v>
      </c>
      <c r="F36" s="38">
        <v>52.05</v>
      </c>
      <c r="H36" s="28"/>
      <c r="K36" s="53">
        <v>3719</v>
      </c>
      <c r="L36" s="53">
        <v>52.15</v>
      </c>
      <c r="N36" s="59">
        <v>4451</v>
      </c>
      <c r="O36" s="59">
        <v>55.03</v>
      </c>
      <c r="Q36" s="28"/>
      <c r="T36" s="38">
        <v>4638</v>
      </c>
      <c r="U36" s="53">
        <v>56.5</v>
      </c>
      <c r="W36" s="38">
        <v>3692</v>
      </c>
      <c r="X36" s="53">
        <v>55.91</v>
      </c>
      <c r="AR36" s="53">
        <v>4585</v>
      </c>
      <c r="AS36" s="53">
        <v>56.27</v>
      </c>
      <c r="BG36" s="28"/>
      <c r="BM36" s="38">
        <v>3854</v>
      </c>
      <c r="BN36" s="53">
        <v>57.44</v>
      </c>
      <c r="BP36" s="38">
        <v>3543</v>
      </c>
      <c r="BQ36" s="38">
        <v>57.49</v>
      </c>
      <c r="BS36" s="38">
        <v>5158</v>
      </c>
      <c r="BT36" s="38">
        <v>57.5</v>
      </c>
      <c r="BV36" s="38">
        <v>4883</v>
      </c>
      <c r="BW36" s="38">
        <v>57.49</v>
      </c>
      <c r="BY36" s="53">
        <v>4596</v>
      </c>
      <c r="BZ36" s="53">
        <v>57.6</v>
      </c>
      <c r="CB36" s="38">
        <v>3214</v>
      </c>
      <c r="CC36" s="38">
        <v>57.66</v>
      </c>
      <c r="CE36" s="38">
        <v>3963</v>
      </c>
      <c r="CF36" s="38">
        <v>61.28</v>
      </c>
    </row>
    <row r="37" spans="1:84" x14ac:dyDescent="0.35">
      <c r="B37" s="38">
        <v>4283</v>
      </c>
      <c r="C37" s="38">
        <v>54.11</v>
      </c>
      <c r="E37" s="38">
        <v>3708</v>
      </c>
      <c r="F37" s="38">
        <v>52.96</v>
      </c>
      <c r="H37" s="28"/>
      <c r="K37" s="53">
        <v>3810</v>
      </c>
      <c r="L37" s="53">
        <v>52</v>
      </c>
      <c r="N37" s="59">
        <v>4513</v>
      </c>
      <c r="O37" s="59">
        <v>55.79</v>
      </c>
      <c r="Q37" s="28"/>
      <c r="S37" s="19" t="s">
        <v>54</v>
      </c>
      <c r="T37" s="39">
        <v>4778</v>
      </c>
      <c r="U37" s="39">
        <v>56.69</v>
      </c>
      <c r="W37" s="38">
        <v>4052</v>
      </c>
      <c r="X37" s="53">
        <v>56.6</v>
      </c>
      <c r="AQ37" s="19" t="s">
        <v>54</v>
      </c>
      <c r="AR37" s="39">
        <v>4728</v>
      </c>
      <c r="AS37" s="39">
        <v>57.47</v>
      </c>
      <c r="BG37" s="28"/>
      <c r="BM37" s="38">
        <v>4042</v>
      </c>
      <c r="BN37" s="53">
        <v>57.5</v>
      </c>
      <c r="BP37" s="38">
        <v>3669</v>
      </c>
      <c r="BQ37" s="38">
        <v>57.49</v>
      </c>
      <c r="BS37" s="38">
        <v>5305</v>
      </c>
      <c r="BT37" s="38">
        <v>57.54</v>
      </c>
      <c r="BV37" s="38">
        <v>5003</v>
      </c>
      <c r="BW37" s="38">
        <v>58.06</v>
      </c>
      <c r="BY37" s="53">
        <v>4755</v>
      </c>
      <c r="BZ37" s="53">
        <v>57.57</v>
      </c>
      <c r="CB37" s="38">
        <v>3449</v>
      </c>
      <c r="CC37" s="38">
        <v>57.5</v>
      </c>
      <c r="CE37" s="38">
        <v>4227</v>
      </c>
      <c r="CF37" s="38">
        <v>57.52</v>
      </c>
    </row>
    <row r="38" spans="1:84" x14ac:dyDescent="0.35">
      <c r="B38" s="38">
        <v>4437</v>
      </c>
      <c r="C38" s="38">
        <v>54.89</v>
      </c>
      <c r="E38" s="38">
        <v>3944</v>
      </c>
      <c r="F38" s="38">
        <v>54.11</v>
      </c>
      <c r="H38" s="28"/>
      <c r="K38" s="53">
        <v>3900</v>
      </c>
      <c r="L38" s="53">
        <v>51.46</v>
      </c>
      <c r="N38" s="59">
        <v>4605</v>
      </c>
      <c r="O38" s="59">
        <v>55.73</v>
      </c>
      <c r="Q38" s="28"/>
      <c r="T38" s="28"/>
      <c r="W38" s="38">
        <v>4453</v>
      </c>
      <c r="X38" s="53">
        <v>57.69</v>
      </c>
      <c r="BG38" s="28"/>
      <c r="BM38" s="38">
        <v>4183</v>
      </c>
      <c r="BN38" s="53">
        <v>57.5</v>
      </c>
      <c r="BP38" s="38">
        <v>3842</v>
      </c>
      <c r="BQ38" s="38">
        <v>57.5</v>
      </c>
      <c r="BS38" s="38">
        <v>5551</v>
      </c>
      <c r="BT38" s="38">
        <v>57.55</v>
      </c>
      <c r="BV38" s="38">
        <v>5147</v>
      </c>
      <c r="BW38" s="38">
        <v>57.82</v>
      </c>
      <c r="BY38" s="53">
        <v>4961</v>
      </c>
      <c r="BZ38" s="53">
        <v>57.58</v>
      </c>
      <c r="CB38" s="38">
        <v>3663</v>
      </c>
      <c r="CC38" s="38">
        <v>57.58</v>
      </c>
      <c r="CE38" s="38">
        <v>4346</v>
      </c>
      <c r="CF38" s="38">
        <v>57.5</v>
      </c>
    </row>
    <row r="39" spans="1:84" x14ac:dyDescent="0.35">
      <c r="B39" s="38">
        <v>4613</v>
      </c>
      <c r="C39" s="38">
        <v>56.03</v>
      </c>
      <c r="E39" s="38">
        <v>4050</v>
      </c>
      <c r="F39" s="38">
        <v>54.09</v>
      </c>
      <c r="H39" s="28"/>
      <c r="K39" s="53">
        <v>4169</v>
      </c>
      <c r="L39" s="53">
        <v>53.15</v>
      </c>
      <c r="N39" s="59">
        <v>4747</v>
      </c>
      <c r="O39" s="59">
        <v>55.81</v>
      </c>
      <c r="Q39" s="28"/>
      <c r="T39" s="28"/>
      <c r="W39" s="38">
        <v>4619</v>
      </c>
      <c r="X39" s="53">
        <v>57.11</v>
      </c>
      <c r="BG39" s="28"/>
      <c r="BM39" s="38">
        <v>4533</v>
      </c>
      <c r="BN39" s="53">
        <v>57.92</v>
      </c>
      <c r="BP39" s="38">
        <v>3996</v>
      </c>
      <c r="BQ39" s="38">
        <v>57.5</v>
      </c>
      <c r="BS39" s="38">
        <v>5742</v>
      </c>
      <c r="BT39" s="38">
        <v>56.23</v>
      </c>
      <c r="BV39" s="38">
        <v>5251</v>
      </c>
      <c r="BW39" s="38">
        <v>57.92</v>
      </c>
      <c r="BY39" s="53">
        <v>5057</v>
      </c>
      <c r="BZ39" s="53">
        <v>57.59</v>
      </c>
      <c r="CB39" s="38">
        <v>3964</v>
      </c>
      <c r="CC39" s="38">
        <v>57.17</v>
      </c>
      <c r="CE39" s="38">
        <v>4526</v>
      </c>
      <c r="CF39" s="38">
        <v>57.5</v>
      </c>
    </row>
    <row r="40" spans="1:84" x14ac:dyDescent="0.35">
      <c r="B40" s="38">
        <v>4730</v>
      </c>
      <c r="C40" s="38">
        <v>55.69</v>
      </c>
      <c r="E40" s="38">
        <v>4119</v>
      </c>
      <c r="F40" s="38">
        <v>54.79</v>
      </c>
      <c r="H40" s="28"/>
      <c r="K40" s="53">
        <v>4258</v>
      </c>
      <c r="L40" s="53">
        <v>54.22</v>
      </c>
      <c r="N40" s="59">
        <v>4815</v>
      </c>
      <c r="O40" s="59">
        <v>55.55</v>
      </c>
      <c r="Q40" s="28"/>
      <c r="T40" s="28"/>
      <c r="W40" s="38">
        <v>4822</v>
      </c>
      <c r="X40" s="53">
        <v>56.33</v>
      </c>
      <c r="BG40" s="28"/>
      <c r="BM40" s="38">
        <v>4647</v>
      </c>
      <c r="BN40" s="53">
        <v>57.59</v>
      </c>
      <c r="BP40" s="38">
        <v>4142</v>
      </c>
      <c r="BQ40" s="38">
        <v>57.54</v>
      </c>
      <c r="BS40" s="38">
        <v>6216</v>
      </c>
      <c r="BT40" s="38">
        <v>56.55</v>
      </c>
      <c r="BV40" s="38">
        <v>5393</v>
      </c>
      <c r="BW40" s="38">
        <v>58.04</v>
      </c>
      <c r="BY40" s="53">
        <v>5354</v>
      </c>
      <c r="BZ40" s="53">
        <v>57.53</v>
      </c>
      <c r="CB40" s="38">
        <v>4175</v>
      </c>
      <c r="CC40" s="38">
        <v>57.19</v>
      </c>
      <c r="CE40" s="38">
        <v>4826</v>
      </c>
      <c r="CF40" s="38">
        <v>57.5</v>
      </c>
    </row>
    <row r="41" spans="1:84" x14ac:dyDescent="0.35">
      <c r="B41" s="38">
        <v>4881</v>
      </c>
      <c r="C41" s="38">
        <v>55.55</v>
      </c>
      <c r="E41" s="38">
        <v>4273</v>
      </c>
      <c r="F41" s="38">
        <v>55.03</v>
      </c>
      <c r="H41" s="28"/>
      <c r="K41" s="53">
        <v>4354</v>
      </c>
      <c r="L41" s="53">
        <v>53.99</v>
      </c>
      <c r="N41" s="59">
        <v>4938</v>
      </c>
      <c r="O41" s="59">
        <v>55.62</v>
      </c>
      <c r="Q41" s="28"/>
      <c r="T41" s="28"/>
      <c r="W41" s="38">
        <v>5178</v>
      </c>
      <c r="X41" s="53">
        <v>56.27</v>
      </c>
      <c r="BG41" s="28"/>
      <c r="BM41" s="38">
        <v>4830</v>
      </c>
      <c r="BN41" s="53">
        <v>57.6</v>
      </c>
      <c r="BP41" s="38">
        <v>4416</v>
      </c>
      <c r="BQ41" s="38">
        <v>57.55</v>
      </c>
      <c r="BR41" s="13" t="s">
        <v>54</v>
      </c>
      <c r="BS41" s="40">
        <v>6485</v>
      </c>
      <c r="BT41" s="40">
        <v>57.45</v>
      </c>
      <c r="BV41" s="38">
        <v>5502</v>
      </c>
      <c r="BW41" s="38">
        <v>58.05</v>
      </c>
      <c r="BY41" s="53">
        <v>5545</v>
      </c>
      <c r="BZ41" s="53">
        <v>57.63</v>
      </c>
      <c r="CB41" s="38">
        <v>4311</v>
      </c>
      <c r="CC41" s="38">
        <v>57.38</v>
      </c>
      <c r="CE41" s="38">
        <v>5097</v>
      </c>
      <c r="CF41" s="38">
        <v>57.14</v>
      </c>
    </row>
    <row r="42" spans="1:84" x14ac:dyDescent="0.35">
      <c r="B42" s="38">
        <v>5055</v>
      </c>
      <c r="C42" s="38">
        <v>55.6</v>
      </c>
      <c r="E42" s="38">
        <v>4383</v>
      </c>
      <c r="F42" s="38">
        <v>55.69</v>
      </c>
      <c r="H42" s="28"/>
      <c r="K42" s="53">
        <v>4447</v>
      </c>
      <c r="L42" s="53">
        <v>53.57</v>
      </c>
      <c r="N42" s="59">
        <v>5145</v>
      </c>
      <c r="O42" s="59">
        <v>56.62</v>
      </c>
      <c r="Q42" s="28"/>
      <c r="T42" s="28"/>
      <c r="V42" s="13" t="s">
        <v>54</v>
      </c>
      <c r="W42" s="15">
        <v>5331</v>
      </c>
      <c r="X42" s="40">
        <v>57.45</v>
      </c>
      <c r="BG42" s="28"/>
      <c r="BM42" s="38">
        <v>4989</v>
      </c>
      <c r="BN42" s="53">
        <v>57.57</v>
      </c>
      <c r="BP42" s="38">
        <v>4580</v>
      </c>
      <c r="BQ42" s="38">
        <v>57.11</v>
      </c>
      <c r="BS42" s="28"/>
      <c r="BV42" s="38">
        <v>5660</v>
      </c>
      <c r="BW42" s="38">
        <v>57.65</v>
      </c>
      <c r="BY42" s="53">
        <v>5778</v>
      </c>
      <c r="BZ42" s="53">
        <v>57.49</v>
      </c>
      <c r="CB42" s="38">
        <v>4527</v>
      </c>
      <c r="CC42" s="38">
        <v>57.66</v>
      </c>
      <c r="CE42" s="38">
        <v>5281</v>
      </c>
      <c r="CF42" s="38">
        <v>57.59</v>
      </c>
    </row>
    <row r="43" spans="1:84" x14ac:dyDescent="0.35">
      <c r="B43" s="38">
        <v>5272</v>
      </c>
      <c r="C43" s="38">
        <v>57.01</v>
      </c>
      <c r="E43" s="38">
        <v>4546</v>
      </c>
      <c r="F43" s="38">
        <v>55.55</v>
      </c>
      <c r="H43" s="28"/>
      <c r="K43" s="53">
        <v>4543</v>
      </c>
      <c r="L43" s="53">
        <v>55.32</v>
      </c>
      <c r="N43" s="59">
        <v>5376</v>
      </c>
      <c r="O43" s="59">
        <v>56.4</v>
      </c>
      <c r="Q43" s="28"/>
      <c r="T43" s="28"/>
      <c r="BG43" s="28"/>
      <c r="BM43" s="38">
        <v>5195</v>
      </c>
      <c r="BN43" s="53">
        <v>57.58</v>
      </c>
      <c r="BP43" s="38">
        <v>4790</v>
      </c>
      <c r="BQ43" s="38">
        <v>56.33</v>
      </c>
      <c r="BS43" s="28"/>
      <c r="BV43" s="38">
        <v>5794</v>
      </c>
      <c r="BW43" s="38">
        <v>59.12</v>
      </c>
      <c r="BY43" s="53">
        <v>6043</v>
      </c>
      <c r="BZ43" s="53">
        <v>57.82</v>
      </c>
      <c r="CB43" s="38">
        <v>4624</v>
      </c>
      <c r="CC43" s="38">
        <v>58.06</v>
      </c>
      <c r="CE43" s="38">
        <v>5466</v>
      </c>
      <c r="CF43" s="38">
        <v>57.8</v>
      </c>
    </row>
    <row r="44" spans="1:84" x14ac:dyDescent="0.35">
      <c r="B44" s="38">
        <v>5375</v>
      </c>
      <c r="C44" s="38">
        <v>56.7</v>
      </c>
      <c r="E44" s="38">
        <v>4691</v>
      </c>
      <c r="F44" s="38">
        <v>55.52</v>
      </c>
      <c r="H44" s="28"/>
      <c r="K44" s="53">
        <v>4701</v>
      </c>
      <c r="L44" s="53">
        <v>53.49</v>
      </c>
      <c r="N44" s="59">
        <v>5738</v>
      </c>
      <c r="O44" s="59">
        <v>56.5</v>
      </c>
      <c r="Q44" s="28"/>
      <c r="T44" s="28"/>
      <c r="BG44" s="28"/>
      <c r="BM44" s="38">
        <v>5291</v>
      </c>
      <c r="BN44" s="53">
        <v>57.59</v>
      </c>
      <c r="BP44" s="38">
        <v>5083</v>
      </c>
      <c r="BQ44" s="38">
        <v>56.32</v>
      </c>
      <c r="BS44" s="28"/>
      <c r="BU44" s="19" t="s">
        <v>208</v>
      </c>
      <c r="BV44" s="39">
        <v>5922</v>
      </c>
      <c r="BW44" s="39">
        <v>57.48</v>
      </c>
      <c r="BY44" s="53">
        <v>6147</v>
      </c>
      <c r="BZ44" s="53">
        <v>57.92</v>
      </c>
      <c r="CB44" s="38">
        <v>4868</v>
      </c>
      <c r="CC44" s="38">
        <v>57.92</v>
      </c>
      <c r="CE44" s="38">
        <v>5625</v>
      </c>
      <c r="CF44" s="38">
        <v>57.57</v>
      </c>
    </row>
    <row r="45" spans="1:84" x14ac:dyDescent="0.35">
      <c r="B45" s="38">
        <v>5536</v>
      </c>
      <c r="C45" s="38">
        <v>56.55</v>
      </c>
      <c r="E45" s="38">
        <v>4841</v>
      </c>
      <c r="F45" s="38">
        <v>55.63</v>
      </c>
      <c r="H45" s="28"/>
      <c r="K45" s="53">
        <v>4758</v>
      </c>
      <c r="L45" s="53">
        <v>53.73</v>
      </c>
      <c r="M45" s="19" t="s">
        <v>54</v>
      </c>
      <c r="N45" s="60">
        <v>5878</v>
      </c>
      <c r="O45" s="60">
        <v>56.69</v>
      </c>
      <c r="Q45" s="28"/>
      <c r="T45" s="28"/>
      <c r="BG45" s="28"/>
      <c r="BM45" s="38">
        <v>5588</v>
      </c>
      <c r="BN45" s="53">
        <v>57.53</v>
      </c>
      <c r="BP45" s="38">
        <v>5156</v>
      </c>
      <c r="BQ45" s="38">
        <v>56.27</v>
      </c>
      <c r="BS45" s="28"/>
      <c r="BV45" s="38">
        <v>6154</v>
      </c>
      <c r="BW45" s="38">
        <v>57.62</v>
      </c>
      <c r="BY45" s="53">
        <v>6397</v>
      </c>
      <c r="BZ45" s="53">
        <v>58.05</v>
      </c>
      <c r="CB45" s="38">
        <v>4899</v>
      </c>
      <c r="CC45" s="38">
        <v>57.85</v>
      </c>
      <c r="CE45" s="38">
        <v>5830</v>
      </c>
      <c r="CF45" s="38">
        <v>57.58</v>
      </c>
    </row>
    <row r="46" spans="1:84" x14ac:dyDescent="0.35">
      <c r="B46" s="38">
        <v>5993</v>
      </c>
      <c r="C46" s="38">
        <v>56.27</v>
      </c>
      <c r="E46" s="38">
        <v>4972</v>
      </c>
      <c r="F46" s="38">
        <v>56.21</v>
      </c>
      <c r="H46" s="28"/>
      <c r="K46" s="53">
        <v>4795</v>
      </c>
      <c r="L46" s="53">
        <v>53.2</v>
      </c>
      <c r="Q46" s="28"/>
      <c r="T46" s="28"/>
      <c r="BG46" s="28"/>
      <c r="BM46" s="38">
        <v>5779</v>
      </c>
      <c r="BN46" s="53">
        <v>57.63</v>
      </c>
      <c r="BO46" s="19" t="s">
        <v>54</v>
      </c>
      <c r="BP46" s="39">
        <v>5339</v>
      </c>
      <c r="BQ46" s="39">
        <v>57.45</v>
      </c>
      <c r="BS46" s="28"/>
      <c r="BV46" s="38">
        <v>6353</v>
      </c>
      <c r="BW46" s="38">
        <v>57.6</v>
      </c>
      <c r="BY46" s="53">
        <v>6490</v>
      </c>
      <c r="BZ46" s="53">
        <v>58.61</v>
      </c>
      <c r="CB46" s="38">
        <v>5120</v>
      </c>
      <c r="CC46" s="38">
        <v>58.05</v>
      </c>
      <c r="CE46" s="38">
        <v>6017</v>
      </c>
      <c r="CF46" s="38">
        <v>57.32</v>
      </c>
    </row>
    <row r="47" spans="1:84" x14ac:dyDescent="0.35">
      <c r="A47" s="19" t="s">
        <v>54</v>
      </c>
      <c r="B47" s="39">
        <v>6070</v>
      </c>
      <c r="C47" s="39">
        <v>56.69</v>
      </c>
      <c r="E47" s="38">
        <v>5117</v>
      </c>
      <c r="F47" s="38">
        <v>56.42</v>
      </c>
      <c r="H47" s="28"/>
      <c r="K47" s="53">
        <v>4866</v>
      </c>
      <c r="L47" s="53">
        <v>52.07</v>
      </c>
      <c r="Q47" s="28"/>
      <c r="T47" s="28"/>
      <c r="BG47" s="28"/>
      <c r="BM47" s="38">
        <v>6012</v>
      </c>
      <c r="BN47" s="53">
        <v>57.49</v>
      </c>
      <c r="BS47" s="28"/>
      <c r="BV47" s="38">
        <v>6476</v>
      </c>
      <c r="BW47" s="38">
        <v>57.45</v>
      </c>
      <c r="BY47" s="53">
        <v>6691</v>
      </c>
      <c r="BZ47" s="53">
        <v>59.12</v>
      </c>
      <c r="CB47" s="38">
        <v>5413</v>
      </c>
      <c r="CC47" s="38">
        <v>59.12</v>
      </c>
      <c r="CE47" s="38">
        <v>6225</v>
      </c>
      <c r="CF47" s="38">
        <v>57.53</v>
      </c>
    </row>
    <row r="48" spans="1:84" x14ac:dyDescent="0.35">
      <c r="E48" s="38">
        <v>5371</v>
      </c>
      <c r="F48" s="38">
        <v>56.58</v>
      </c>
      <c r="H48" s="28"/>
      <c r="K48" s="53">
        <v>4989</v>
      </c>
      <c r="L48" s="53">
        <v>51.17</v>
      </c>
      <c r="Q48" s="28"/>
      <c r="T48" s="28"/>
      <c r="BG48" s="28"/>
      <c r="BM48" s="38">
        <v>6277</v>
      </c>
      <c r="BN48" s="53">
        <v>57.82</v>
      </c>
      <c r="BS48" s="28"/>
      <c r="BV48" s="38">
        <v>6615</v>
      </c>
      <c r="BW48" s="38">
        <v>57.8</v>
      </c>
      <c r="BY48" s="53">
        <v>6801</v>
      </c>
      <c r="BZ48" s="53">
        <v>57.48</v>
      </c>
      <c r="CB48" s="38">
        <v>5529</v>
      </c>
      <c r="CC48" s="38">
        <v>57.5</v>
      </c>
      <c r="CE48" s="38">
        <v>6520</v>
      </c>
      <c r="CF48" s="38">
        <v>57.7</v>
      </c>
    </row>
    <row r="49" spans="4:84" x14ac:dyDescent="0.35">
      <c r="D49" s="13" t="s">
        <v>54</v>
      </c>
      <c r="E49" s="40">
        <v>5774</v>
      </c>
      <c r="F49" s="40">
        <v>56.69</v>
      </c>
      <c r="J49" s="13" t="s">
        <v>119</v>
      </c>
      <c r="K49" s="40">
        <v>5101</v>
      </c>
      <c r="L49" s="40">
        <v>49.87</v>
      </c>
      <c r="Q49" s="28"/>
      <c r="BG49" s="28"/>
      <c r="BM49" s="38">
        <v>6381</v>
      </c>
      <c r="BN49" s="53">
        <v>57.92</v>
      </c>
      <c r="BS49" s="28"/>
      <c r="BV49" s="38">
        <v>6811</v>
      </c>
      <c r="BW49" s="38">
        <v>57.56</v>
      </c>
      <c r="BY49" s="53">
        <v>7037</v>
      </c>
      <c r="BZ49" s="53">
        <v>57.59</v>
      </c>
      <c r="CB49" s="38">
        <v>5851</v>
      </c>
      <c r="CC49" s="38">
        <v>57.62</v>
      </c>
      <c r="CE49" s="38">
        <v>6660</v>
      </c>
      <c r="CF49" s="38">
        <v>57.49</v>
      </c>
    </row>
    <row r="50" spans="4:84" x14ac:dyDescent="0.35">
      <c r="K50" s="40">
        <v>5135</v>
      </c>
      <c r="L50" s="40">
        <v>49.11</v>
      </c>
      <c r="Q50" s="28"/>
      <c r="BG50" s="28"/>
      <c r="BM50" s="38">
        <v>6631</v>
      </c>
      <c r="BN50" s="53">
        <v>58.05</v>
      </c>
      <c r="BS50" s="28"/>
      <c r="BV50" s="38">
        <v>7065</v>
      </c>
      <c r="BW50" s="38">
        <v>57.5</v>
      </c>
      <c r="BY50" s="53">
        <v>7275</v>
      </c>
      <c r="BZ50" s="53">
        <v>57.43</v>
      </c>
      <c r="CB50" s="38">
        <v>6084</v>
      </c>
      <c r="CC50" s="38">
        <v>57.45</v>
      </c>
      <c r="CE50" s="38">
        <v>6780</v>
      </c>
      <c r="CF50" s="38">
        <v>58.06</v>
      </c>
    </row>
    <row r="51" spans="4:84" x14ac:dyDescent="0.35">
      <c r="K51" s="53">
        <v>5220</v>
      </c>
      <c r="L51" s="53">
        <v>50.74</v>
      </c>
      <c r="Q51" s="28"/>
      <c r="BG51" s="28"/>
      <c r="BM51" s="38">
        <v>6724</v>
      </c>
      <c r="BN51" s="53">
        <v>58.61</v>
      </c>
      <c r="BS51" s="28"/>
      <c r="BV51" s="38">
        <v>7187</v>
      </c>
      <c r="BW51" s="38">
        <v>57.54</v>
      </c>
      <c r="BY51" s="53">
        <v>7497</v>
      </c>
      <c r="BZ51" s="53">
        <v>57.8</v>
      </c>
      <c r="CB51" s="38">
        <v>6371</v>
      </c>
      <c r="CC51" s="38">
        <v>57.49</v>
      </c>
      <c r="CE51" s="38">
        <v>6924</v>
      </c>
      <c r="CF51" s="38">
        <v>57.82</v>
      </c>
    </row>
    <row r="52" spans="4:84" x14ac:dyDescent="0.35">
      <c r="K52" s="53">
        <v>5336</v>
      </c>
      <c r="L52" s="53">
        <v>52.05</v>
      </c>
      <c r="Q52" s="28"/>
      <c r="BG52" s="28"/>
      <c r="BM52" s="38">
        <v>6925</v>
      </c>
      <c r="BN52" s="53">
        <v>59.12</v>
      </c>
      <c r="BS52" s="28"/>
      <c r="BV52" s="38">
        <v>7293</v>
      </c>
      <c r="BW52" s="38">
        <v>57.55</v>
      </c>
      <c r="BY52" s="53">
        <v>7589</v>
      </c>
      <c r="BZ52" s="53">
        <v>57.54</v>
      </c>
      <c r="CB52" s="38">
        <v>6501</v>
      </c>
      <c r="CC52" s="38">
        <v>57.49</v>
      </c>
      <c r="CE52" s="38">
        <v>7028</v>
      </c>
      <c r="CF52" s="38">
        <v>57.92</v>
      </c>
    </row>
    <row r="53" spans="4:84" x14ac:dyDescent="0.35">
      <c r="K53" s="53">
        <v>5432</v>
      </c>
      <c r="L53" s="53">
        <v>52.96</v>
      </c>
      <c r="Q53" s="28"/>
      <c r="BG53" s="28"/>
      <c r="BM53" s="38">
        <v>7035</v>
      </c>
      <c r="BN53" s="53">
        <v>57.48</v>
      </c>
      <c r="BS53" s="28"/>
      <c r="BV53" s="38">
        <v>7406</v>
      </c>
      <c r="BW53" s="38">
        <v>57.51</v>
      </c>
      <c r="BY53" s="53">
        <v>7786</v>
      </c>
      <c r="BZ53" s="53">
        <v>57.54</v>
      </c>
      <c r="CB53" s="38">
        <v>6670</v>
      </c>
      <c r="CC53" s="38">
        <v>57.5</v>
      </c>
      <c r="CE53" s="38">
        <v>7170</v>
      </c>
      <c r="CF53" s="38">
        <v>58.04</v>
      </c>
    </row>
    <row r="54" spans="4:84" x14ac:dyDescent="0.35">
      <c r="K54" s="53">
        <v>5494</v>
      </c>
      <c r="L54" s="53">
        <v>52.84</v>
      </c>
      <c r="Q54" s="28"/>
      <c r="BG54" s="28"/>
      <c r="BM54" s="38">
        <v>7271</v>
      </c>
      <c r="BN54" s="53">
        <v>57.59</v>
      </c>
      <c r="BV54" s="38">
        <v>7598</v>
      </c>
      <c r="BW54" s="38">
        <v>57.55</v>
      </c>
      <c r="BY54" s="53">
        <v>7954</v>
      </c>
      <c r="BZ54" s="53">
        <v>57.5</v>
      </c>
      <c r="CB54" s="38">
        <v>6826</v>
      </c>
      <c r="CC54" s="38">
        <v>57.5</v>
      </c>
      <c r="CE54" s="38">
        <v>7279</v>
      </c>
      <c r="CF54" s="38">
        <v>58.05</v>
      </c>
    </row>
    <row r="55" spans="4:84" x14ac:dyDescent="0.35">
      <c r="K55" s="53">
        <v>5676</v>
      </c>
      <c r="L55" s="53">
        <v>54.64</v>
      </c>
      <c r="Q55" s="28"/>
      <c r="BG55" s="28"/>
      <c r="BM55" s="38">
        <v>7509</v>
      </c>
      <c r="BN55" s="53">
        <v>57.43</v>
      </c>
      <c r="BV55" s="38">
        <v>7786</v>
      </c>
      <c r="BW55" s="38">
        <v>56.23</v>
      </c>
      <c r="BY55" s="53">
        <v>8069</v>
      </c>
      <c r="BZ55" s="53">
        <v>57.54</v>
      </c>
      <c r="CB55" s="38">
        <v>6973</v>
      </c>
      <c r="CC55" s="38">
        <v>57.54</v>
      </c>
      <c r="CE55" s="38">
        <v>7437</v>
      </c>
      <c r="CF55" s="38">
        <v>57.65</v>
      </c>
    </row>
    <row r="56" spans="4:84" x14ac:dyDescent="0.35">
      <c r="K56" s="53">
        <v>5839</v>
      </c>
      <c r="L56" s="53">
        <v>54.96</v>
      </c>
      <c r="Q56" s="28"/>
      <c r="BG56" s="28"/>
      <c r="BM56" s="38">
        <v>7731</v>
      </c>
      <c r="BN56" s="53">
        <v>57.8</v>
      </c>
      <c r="BV56" s="38">
        <v>8179</v>
      </c>
      <c r="BW56" s="38">
        <v>56.28</v>
      </c>
      <c r="BY56" s="53">
        <v>8170</v>
      </c>
      <c r="BZ56" s="53">
        <v>57.55</v>
      </c>
      <c r="CB56" s="38">
        <v>7219</v>
      </c>
      <c r="CC56" s="38">
        <v>57.55</v>
      </c>
      <c r="CE56" s="38">
        <v>7571</v>
      </c>
      <c r="CF56" s="38">
        <v>59.12</v>
      </c>
    </row>
    <row r="57" spans="4:84" x14ac:dyDescent="0.35">
      <c r="K57" s="53">
        <v>5941</v>
      </c>
      <c r="L57" s="53">
        <v>55.42</v>
      </c>
      <c r="Q57" s="28"/>
      <c r="BG57" s="28"/>
      <c r="BM57" s="38">
        <v>7823</v>
      </c>
      <c r="BN57" s="53">
        <v>57.54</v>
      </c>
      <c r="BV57" s="38">
        <v>8279</v>
      </c>
      <c r="BW57" s="38">
        <v>56.55</v>
      </c>
      <c r="BY57" s="53">
        <v>8293</v>
      </c>
      <c r="BZ57" s="53">
        <v>57.51</v>
      </c>
      <c r="CB57" s="38">
        <v>7410</v>
      </c>
      <c r="CC57" s="38">
        <v>56.23</v>
      </c>
      <c r="CD57" s="13" t="s">
        <v>208</v>
      </c>
      <c r="CE57" s="40">
        <v>7699</v>
      </c>
      <c r="CF57" s="40">
        <v>57.48</v>
      </c>
    </row>
    <row r="58" spans="4:84" x14ac:dyDescent="0.35">
      <c r="K58" s="53">
        <v>6069</v>
      </c>
      <c r="L58" s="53">
        <v>55.79</v>
      </c>
      <c r="Q58" s="28"/>
      <c r="BG58" s="28"/>
      <c r="BM58" s="38">
        <v>8020</v>
      </c>
      <c r="BN58" s="53">
        <v>57.54</v>
      </c>
      <c r="BV58" s="38">
        <v>8454</v>
      </c>
      <c r="BW58" s="38">
        <v>56.27</v>
      </c>
      <c r="BY58" s="53">
        <v>8388</v>
      </c>
      <c r="BZ58" s="53">
        <v>57.55</v>
      </c>
      <c r="CB58" s="38">
        <v>7884</v>
      </c>
      <c r="CC58" s="38">
        <v>56.55</v>
      </c>
      <c r="CE58" s="38">
        <v>7931</v>
      </c>
      <c r="CF58" s="38">
        <v>57.62</v>
      </c>
    </row>
    <row r="59" spans="4:84" x14ac:dyDescent="0.35">
      <c r="K59" s="53">
        <v>6163</v>
      </c>
      <c r="L59" s="53">
        <v>55.73</v>
      </c>
      <c r="Q59" s="28"/>
      <c r="BG59" s="28"/>
      <c r="BM59" s="38">
        <v>8188</v>
      </c>
      <c r="BN59" s="53">
        <v>57.5</v>
      </c>
      <c r="BU59" s="19" t="s">
        <v>54</v>
      </c>
      <c r="BV59" s="39">
        <v>8551</v>
      </c>
      <c r="BW59" s="39">
        <v>57.45</v>
      </c>
      <c r="BY59" s="53">
        <v>8657</v>
      </c>
      <c r="BZ59" s="53">
        <v>56.23</v>
      </c>
      <c r="CA59" s="19" t="s">
        <v>54</v>
      </c>
      <c r="CB59" s="39">
        <v>8153</v>
      </c>
      <c r="CC59" s="39">
        <v>57.45</v>
      </c>
      <c r="CE59" s="38">
        <v>8130</v>
      </c>
      <c r="CF59" s="38">
        <v>57.6</v>
      </c>
    </row>
    <row r="60" spans="4:84" x14ac:dyDescent="0.35">
      <c r="K60" s="53">
        <v>6301</v>
      </c>
      <c r="L60" s="53">
        <v>55.81</v>
      </c>
      <c r="Q60" s="28"/>
      <c r="BG60" s="28"/>
      <c r="BM60" s="38">
        <v>8303</v>
      </c>
      <c r="BN60" s="53">
        <v>57.54</v>
      </c>
      <c r="BV60" s="28"/>
      <c r="BY60" s="53">
        <v>9067</v>
      </c>
      <c r="BZ60" s="53">
        <v>56.28</v>
      </c>
      <c r="CE60" s="38">
        <v>8253</v>
      </c>
      <c r="CF60" s="38">
        <v>57.45</v>
      </c>
    </row>
    <row r="61" spans="4:84" x14ac:dyDescent="0.35">
      <c r="K61" s="53">
        <v>6489</v>
      </c>
      <c r="L61" s="53">
        <v>55.62</v>
      </c>
      <c r="Q61" s="28"/>
      <c r="BG61" s="28"/>
      <c r="BM61" s="38">
        <v>8404</v>
      </c>
      <c r="BN61" s="53">
        <v>57.55</v>
      </c>
      <c r="BV61" s="28"/>
      <c r="BY61" s="53">
        <v>9258</v>
      </c>
      <c r="BZ61" s="53">
        <v>56.81</v>
      </c>
      <c r="CE61" s="38">
        <v>8392</v>
      </c>
      <c r="CF61" s="38">
        <v>57.8</v>
      </c>
    </row>
    <row r="62" spans="4:84" x14ac:dyDescent="0.35">
      <c r="K62" s="53">
        <v>6696</v>
      </c>
      <c r="L62" s="53">
        <v>56.62</v>
      </c>
      <c r="BG62" s="28"/>
      <c r="BM62" s="38">
        <v>8527</v>
      </c>
      <c r="BN62" s="53">
        <v>57.51</v>
      </c>
      <c r="BV62" s="28"/>
      <c r="BX62" s="13" t="s">
        <v>54</v>
      </c>
      <c r="BY62" s="40">
        <v>9478</v>
      </c>
      <c r="BZ62" s="40">
        <v>56.69</v>
      </c>
      <c r="CE62" s="38">
        <v>8588</v>
      </c>
      <c r="CF62" s="38">
        <v>57.56</v>
      </c>
    </row>
    <row r="63" spans="4:84" x14ac:dyDescent="0.35">
      <c r="K63" s="53">
        <v>6766</v>
      </c>
      <c r="L63" s="53">
        <v>56.7</v>
      </c>
      <c r="BG63" s="28"/>
      <c r="BM63" s="38">
        <v>8622</v>
      </c>
      <c r="BN63" s="53">
        <v>57.55</v>
      </c>
      <c r="BV63" s="28"/>
      <c r="CE63" s="38">
        <v>8842</v>
      </c>
      <c r="CF63" s="38">
        <v>57.5</v>
      </c>
    </row>
    <row r="64" spans="4:84" x14ac:dyDescent="0.35">
      <c r="K64" s="53">
        <v>6856</v>
      </c>
      <c r="L64" s="53">
        <v>56.42</v>
      </c>
      <c r="BG64" s="28"/>
      <c r="BM64" s="38">
        <v>8891</v>
      </c>
      <c r="BN64" s="53">
        <v>56.23</v>
      </c>
      <c r="BV64" s="28"/>
      <c r="CE64" s="38">
        <v>8964</v>
      </c>
      <c r="CF64" s="38">
        <v>57.54</v>
      </c>
    </row>
    <row r="65" spans="10:84" x14ac:dyDescent="0.35">
      <c r="K65" s="53">
        <v>6948</v>
      </c>
      <c r="L65" s="53">
        <v>56.55</v>
      </c>
      <c r="BG65" s="28"/>
      <c r="BM65" s="38">
        <v>9301</v>
      </c>
      <c r="BN65" s="53">
        <v>56.28</v>
      </c>
      <c r="BV65" s="28"/>
      <c r="CE65" s="38">
        <v>9070</v>
      </c>
      <c r="CF65" s="38">
        <v>57.55</v>
      </c>
    </row>
    <row r="66" spans="10:84" x14ac:dyDescent="0.35">
      <c r="K66" s="53">
        <v>7049</v>
      </c>
      <c r="L66" s="53">
        <v>56.54</v>
      </c>
      <c r="BM66" s="38">
        <v>9492</v>
      </c>
      <c r="BN66" s="53">
        <v>56.81</v>
      </c>
      <c r="BV66" s="28"/>
      <c r="CE66" s="38">
        <v>9183</v>
      </c>
      <c r="CF66" s="38">
        <v>57.51</v>
      </c>
    </row>
    <row r="67" spans="10:84" x14ac:dyDescent="0.35">
      <c r="J67" s="13" t="s">
        <v>54</v>
      </c>
      <c r="K67" s="40">
        <v>7409</v>
      </c>
      <c r="L67" s="40">
        <v>56.69</v>
      </c>
      <c r="BL67" s="13" t="s">
        <v>54</v>
      </c>
      <c r="BM67" s="40">
        <v>9712</v>
      </c>
      <c r="BN67" s="40">
        <v>56.69</v>
      </c>
      <c r="BV67" s="28"/>
      <c r="CE67" s="38">
        <v>9375</v>
      </c>
      <c r="CF67" s="38">
        <v>57.55</v>
      </c>
    </row>
    <row r="68" spans="10:84" x14ac:dyDescent="0.35">
      <c r="BM68" s="28"/>
      <c r="BV68" s="28"/>
      <c r="CE68" s="38">
        <v>9563</v>
      </c>
      <c r="CF68" s="38">
        <v>56.23</v>
      </c>
    </row>
    <row r="69" spans="10:84" x14ac:dyDescent="0.35">
      <c r="BM69" s="28"/>
      <c r="BV69" s="28"/>
      <c r="CE69" s="38">
        <v>9956</v>
      </c>
      <c r="CF69" s="38">
        <v>56.28</v>
      </c>
    </row>
    <row r="70" spans="10:84" x14ac:dyDescent="0.35">
      <c r="BM70" s="28"/>
      <c r="BV70" s="28"/>
      <c r="CE70" s="38">
        <v>10056</v>
      </c>
      <c r="CF70" s="38">
        <v>56.55</v>
      </c>
    </row>
    <row r="71" spans="10:84" x14ac:dyDescent="0.35">
      <c r="BM71" s="28"/>
      <c r="BV71" s="28"/>
      <c r="CE71" s="38">
        <v>10231</v>
      </c>
      <c r="CF71" s="38">
        <v>56.27</v>
      </c>
    </row>
    <row r="72" spans="10:84" x14ac:dyDescent="0.35">
      <c r="BM72" s="28"/>
      <c r="BV72" s="28"/>
      <c r="CD72" s="13" t="s">
        <v>54</v>
      </c>
      <c r="CE72" s="40">
        <v>10328</v>
      </c>
      <c r="CF72" s="40">
        <v>57.45</v>
      </c>
    </row>
  </sheetData>
  <mergeCells count="28">
    <mergeCell ref="CB1:CC1"/>
    <mergeCell ref="CE1:CF1"/>
    <mergeCell ref="BJ1:BK1"/>
    <mergeCell ref="BM1:BN1"/>
    <mergeCell ref="BP1:BQ1"/>
    <mergeCell ref="BS1:BT1"/>
    <mergeCell ref="BV1:BW1"/>
    <mergeCell ref="BY1:BZ1"/>
    <mergeCell ref="Q1:R1"/>
    <mergeCell ref="T1:U1"/>
    <mergeCell ref="W1:X1"/>
    <mergeCell ref="BG1:BH1"/>
    <mergeCell ref="Z1:AA1"/>
    <mergeCell ref="AC1:AD1"/>
    <mergeCell ref="AF1:AG1"/>
    <mergeCell ref="AI1:AJ1"/>
    <mergeCell ref="AL1:AM1"/>
    <mergeCell ref="AO1:AP1"/>
    <mergeCell ref="AR1:AS1"/>
    <mergeCell ref="AU1:AV1"/>
    <mergeCell ref="AX1:AY1"/>
    <mergeCell ref="BA1:BB1"/>
    <mergeCell ref="BD1:BE1"/>
    <mergeCell ref="B1:C1"/>
    <mergeCell ref="E1:F1"/>
    <mergeCell ref="H1:I1"/>
    <mergeCell ref="K1:L1"/>
    <mergeCell ref="N1:O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3"/>
  <dimension ref="A1:DP100"/>
  <sheetViews>
    <sheetView topLeftCell="C1" workbookViewId="0">
      <pane ySplit="2" topLeftCell="A3" activePane="bottomLeft" state="frozen"/>
      <selection pane="bottomLeft" activeCell="AL26" sqref="AL26"/>
    </sheetView>
  </sheetViews>
  <sheetFormatPr defaultRowHeight="14.5" x14ac:dyDescent="0.35"/>
  <sheetData>
    <row r="1" spans="1:120" x14ac:dyDescent="0.35">
      <c r="B1" s="99" t="s">
        <v>68</v>
      </c>
      <c r="C1" s="100"/>
      <c r="E1" s="99" t="s">
        <v>67</v>
      </c>
      <c r="F1" s="100"/>
      <c r="H1" s="99" t="s">
        <v>70</v>
      </c>
      <c r="I1" s="100"/>
      <c r="K1" s="99" t="s">
        <v>71</v>
      </c>
      <c r="L1" s="100"/>
      <c r="N1" s="99" t="s">
        <v>72</v>
      </c>
      <c r="O1" s="100"/>
      <c r="Q1" s="99" t="s">
        <v>73</v>
      </c>
      <c r="R1" s="100"/>
      <c r="T1" s="99" t="s">
        <v>74</v>
      </c>
      <c r="U1" s="100"/>
      <c r="W1" s="99" t="s">
        <v>75</v>
      </c>
      <c r="X1" s="100"/>
      <c r="Z1" s="99" t="s">
        <v>76</v>
      </c>
      <c r="AA1" s="100"/>
      <c r="AC1" s="99" t="s">
        <v>69</v>
      </c>
      <c r="AD1" s="100"/>
      <c r="AF1" s="99" t="s">
        <v>77</v>
      </c>
      <c r="AG1" s="100"/>
      <c r="AI1" s="96" t="s">
        <v>78</v>
      </c>
      <c r="AJ1" s="97"/>
      <c r="AL1" s="96" t="s">
        <v>79</v>
      </c>
      <c r="AM1" s="97"/>
      <c r="AN1" s="28"/>
      <c r="AO1" s="96" t="s">
        <v>80</v>
      </c>
      <c r="AP1" s="97"/>
      <c r="AQ1" s="28"/>
      <c r="AR1" s="96" t="s">
        <v>81</v>
      </c>
      <c r="AS1" s="97"/>
      <c r="AT1" s="28"/>
      <c r="AU1" s="96" t="s">
        <v>82</v>
      </c>
      <c r="AV1" s="97"/>
      <c r="AW1" s="28"/>
      <c r="AX1" s="96" t="s">
        <v>83</v>
      </c>
      <c r="AY1" s="97"/>
      <c r="AZ1" s="28"/>
      <c r="BA1" s="96" t="s">
        <v>84</v>
      </c>
      <c r="BB1" s="97"/>
      <c r="BC1" s="28"/>
      <c r="BD1" s="96" t="s">
        <v>85</v>
      </c>
      <c r="BE1" s="97"/>
      <c r="BF1" s="28"/>
      <c r="BG1" s="96" t="s">
        <v>86</v>
      </c>
      <c r="BH1" s="97"/>
      <c r="BI1" s="28"/>
      <c r="BJ1" s="96" t="s">
        <v>87</v>
      </c>
      <c r="BK1" s="97"/>
      <c r="BL1" s="28"/>
      <c r="BM1" s="96" t="s">
        <v>88</v>
      </c>
      <c r="BN1" s="97"/>
      <c r="BO1" s="28"/>
      <c r="BP1" s="96" t="s">
        <v>89</v>
      </c>
      <c r="BQ1" s="97"/>
      <c r="BR1" s="28"/>
      <c r="BS1" s="96" t="s">
        <v>90</v>
      </c>
      <c r="BT1" s="97"/>
      <c r="BU1" s="28"/>
      <c r="BV1" s="96" t="s">
        <v>91</v>
      </c>
      <c r="BW1" s="97"/>
      <c r="BX1" s="28"/>
      <c r="BY1" s="96" t="s">
        <v>92</v>
      </c>
      <c r="BZ1" s="97"/>
      <c r="CA1" s="28"/>
      <c r="CB1" s="96" t="s">
        <v>93</v>
      </c>
      <c r="CC1" s="97"/>
      <c r="CD1" s="28"/>
      <c r="CE1" s="96" t="s">
        <v>94</v>
      </c>
      <c r="CF1" s="97"/>
      <c r="CG1" s="28"/>
      <c r="CH1" s="96" t="s">
        <v>95</v>
      </c>
      <c r="CI1" s="97"/>
      <c r="CJ1" s="28"/>
      <c r="CK1" s="96" t="s">
        <v>96</v>
      </c>
      <c r="CL1" s="97"/>
      <c r="CM1" s="28"/>
      <c r="CN1" s="96" t="s">
        <v>97</v>
      </c>
      <c r="CO1" s="97"/>
      <c r="CP1" s="28"/>
      <c r="CQ1" s="96" t="s">
        <v>98</v>
      </c>
      <c r="CR1" s="97"/>
      <c r="CS1" s="28"/>
      <c r="CT1" s="96" t="s">
        <v>99</v>
      </c>
      <c r="CU1" s="97"/>
      <c r="CV1" s="28"/>
      <c r="CW1" s="96" t="s">
        <v>101</v>
      </c>
      <c r="CX1" s="97"/>
      <c r="CY1" s="28"/>
      <c r="CZ1" s="96" t="s">
        <v>102</v>
      </c>
      <c r="DA1" s="97"/>
      <c r="DB1" s="28"/>
      <c r="DC1" s="96" t="s">
        <v>103</v>
      </c>
      <c r="DD1" s="97"/>
      <c r="DE1" s="28"/>
      <c r="DF1" s="96" t="s">
        <v>100</v>
      </c>
      <c r="DG1" s="97"/>
      <c r="DH1" s="37"/>
      <c r="DI1" s="96" t="s">
        <v>104</v>
      </c>
      <c r="DJ1" s="97"/>
      <c r="DK1" s="37"/>
      <c r="DL1" s="96" t="s">
        <v>105</v>
      </c>
      <c r="DM1" s="97"/>
      <c r="DN1" s="28"/>
      <c r="DO1" s="96" t="s">
        <v>106</v>
      </c>
      <c r="DP1" s="97"/>
    </row>
    <row r="2" spans="1:120" x14ac:dyDescent="0.35">
      <c r="B2" s="1" t="s">
        <v>32</v>
      </c>
      <c r="C2" s="1" t="s">
        <v>33</v>
      </c>
      <c r="E2" s="1" t="s">
        <v>32</v>
      </c>
      <c r="F2" s="1" t="s">
        <v>33</v>
      </c>
      <c r="H2" s="1" t="s">
        <v>32</v>
      </c>
      <c r="I2" s="1" t="s">
        <v>33</v>
      </c>
      <c r="K2" s="1" t="s">
        <v>32</v>
      </c>
      <c r="L2" s="1" t="s">
        <v>33</v>
      </c>
      <c r="N2" s="1" t="s">
        <v>32</v>
      </c>
      <c r="O2" s="1" t="s">
        <v>33</v>
      </c>
      <c r="Q2" s="1" t="s">
        <v>32</v>
      </c>
      <c r="R2" s="1" t="s">
        <v>33</v>
      </c>
      <c r="T2" s="1" t="s">
        <v>32</v>
      </c>
      <c r="U2" s="1" t="s">
        <v>33</v>
      </c>
      <c r="W2" s="1" t="s">
        <v>32</v>
      </c>
      <c r="X2" s="1" t="s">
        <v>33</v>
      </c>
      <c r="Z2" s="1" t="s">
        <v>32</v>
      </c>
      <c r="AA2" s="1" t="s">
        <v>33</v>
      </c>
      <c r="AC2" s="1" t="s">
        <v>32</v>
      </c>
      <c r="AD2" s="1" t="s">
        <v>33</v>
      </c>
      <c r="AF2" s="1" t="s">
        <v>32</v>
      </c>
      <c r="AG2" s="1" t="s">
        <v>33</v>
      </c>
      <c r="AI2" s="1" t="s">
        <v>32</v>
      </c>
      <c r="AJ2" s="1" t="s">
        <v>33</v>
      </c>
      <c r="AL2" s="1" t="s">
        <v>32</v>
      </c>
      <c r="AM2" s="1" t="s">
        <v>33</v>
      </c>
      <c r="AN2" s="28"/>
      <c r="AO2" s="1" t="s">
        <v>32</v>
      </c>
      <c r="AP2" s="1" t="s">
        <v>33</v>
      </c>
      <c r="AQ2" s="28"/>
      <c r="AR2" s="1" t="s">
        <v>32</v>
      </c>
      <c r="AS2" s="1" t="s">
        <v>33</v>
      </c>
      <c r="AT2" s="28"/>
      <c r="AU2" s="1" t="s">
        <v>32</v>
      </c>
      <c r="AV2" s="1" t="s">
        <v>33</v>
      </c>
      <c r="AW2" s="28"/>
      <c r="AX2" s="1" t="s">
        <v>32</v>
      </c>
      <c r="AY2" s="1" t="s">
        <v>33</v>
      </c>
      <c r="AZ2" s="28"/>
      <c r="BA2" s="1" t="s">
        <v>32</v>
      </c>
      <c r="BB2" s="1" t="s">
        <v>33</v>
      </c>
      <c r="BC2" s="28"/>
      <c r="BD2" s="1" t="s">
        <v>32</v>
      </c>
      <c r="BE2" s="1" t="s">
        <v>33</v>
      </c>
      <c r="BF2" s="28"/>
      <c r="BG2" s="1" t="s">
        <v>32</v>
      </c>
      <c r="BH2" s="1" t="s">
        <v>33</v>
      </c>
      <c r="BI2" s="28"/>
      <c r="BJ2" s="1" t="s">
        <v>32</v>
      </c>
      <c r="BK2" s="1" t="s">
        <v>33</v>
      </c>
      <c r="BL2" s="28"/>
      <c r="BM2" s="1" t="s">
        <v>32</v>
      </c>
      <c r="BN2" s="1" t="s">
        <v>33</v>
      </c>
      <c r="BO2" s="28"/>
      <c r="BP2" s="1" t="s">
        <v>32</v>
      </c>
      <c r="BQ2" s="1" t="s">
        <v>33</v>
      </c>
      <c r="BR2" s="28"/>
      <c r="BS2" s="1" t="s">
        <v>32</v>
      </c>
      <c r="BT2" s="1" t="s">
        <v>33</v>
      </c>
      <c r="BU2" s="28"/>
      <c r="BV2" s="1" t="s">
        <v>32</v>
      </c>
      <c r="BW2" s="1" t="s">
        <v>33</v>
      </c>
      <c r="BX2" s="28"/>
      <c r="BY2" s="1" t="s">
        <v>32</v>
      </c>
      <c r="BZ2" s="1" t="s">
        <v>33</v>
      </c>
      <c r="CA2" s="28"/>
      <c r="CB2" s="1" t="s">
        <v>32</v>
      </c>
      <c r="CC2" s="1" t="s">
        <v>33</v>
      </c>
      <c r="CD2" s="28"/>
      <c r="CE2" s="1" t="s">
        <v>32</v>
      </c>
      <c r="CF2" s="1" t="s">
        <v>33</v>
      </c>
      <c r="CG2" s="28"/>
      <c r="CH2" s="1" t="s">
        <v>32</v>
      </c>
      <c r="CI2" s="1" t="s">
        <v>33</v>
      </c>
      <c r="CJ2" s="28"/>
      <c r="CK2" s="1" t="s">
        <v>32</v>
      </c>
      <c r="CL2" s="1" t="s">
        <v>33</v>
      </c>
      <c r="CM2" s="28"/>
      <c r="CN2" s="1" t="s">
        <v>32</v>
      </c>
      <c r="CO2" s="1" t="s">
        <v>33</v>
      </c>
      <c r="CP2" s="28"/>
      <c r="CQ2" s="1" t="s">
        <v>32</v>
      </c>
      <c r="CR2" s="1" t="s">
        <v>33</v>
      </c>
      <c r="CS2" s="28"/>
      <c r="CT2" s="1" t="s">
        <v>32</v>
      </c>
      <c r="CU2" s="1" t="s">
        <v>33</v>
      </c>
      <c r="CV2" s="28"/>
      <c r="CW2" s="1" t="s">
        <v>32</v>
      </c>
      <c r="CX2" s="1" t="s">
        <v>33</v>
      </c>
      <c r="CY2" s="28"/>
      <c r="CZ2" s="1" t="s">
        <v>32</v>
      </c>
      <c r="DA2" s="1" t="s">
        <v>33</v>
      </c>
      <c r="DB2" s="28"/>
      <c r="DC2" s="1" t="s">
        <v>32</v>
      </c>
      <c r="DD2" s="1" t="s">
        <v>33</v>
      </c>
      <c r="DE2" s="28"/>
      <c r="DF2" s="1" t="s">
        <v>32</v>
      </c>
      <c r="DG2" s="1" t="s">
        <v>33</v>
      </c>
      <c r="DH2" s="28"/>
      <c r="DI2" s="1" t="s">
        <v>32</v>
      </c>
      <c r="DJ2" s="1" t="s">
        <v>33</v>
      </c>
      <c r="DK2" s="28"/>
      <c r="DL2" s="1" t="s">
        <v>32</v>
      </c>
      <c r="DM2" s="1" t="s">
        <v>33</v>
      </c>
      <c r="DN2" s="28"/>
      <c r="DO2" s="1" t="s">
        <v>32</v>
      </c>
      <c r="DP2" s="1" t="s">
        <v>33</v>
      </c>
    </row>
    <row r="3" spans="1:120" x14ac:dyDescent="0.35">
      <c r="B3" s="38">
        <v>0</v>
      </c>
      <c r="C3" s="38">
        <v>59.866</v>
      </c>
      <c r="E3" s="2">
        <v>0</v>
      </c>
      <c r="F3" s="2">
        <v>42.35</v>
      </c>
      <c r="H3" s="2">
        <v>0</v>
      </c>
      <c r="I3" s="2">
        <v>42.59</v>
      </c>
      <c r="K3" s="2">
        <v>0</v>
      </c>
      <c r="L3" s="2">
        <v>48.86</v>
      </c>
      <c r="N3" s="2">
        <v>0</v>
      </c>
      <c r="O3" s="2">
        <v>43.31</v>
      </c>
      <c r="Q3" s="21">
        <v>0</v>
      </c>
      <c r="R3" s="24">
        <v>47.52</v>
      </c>
      <c r="T3" s="21">
        <v>0</v>
      </c>
      <c r="U3" s="24">
        <v>57.64</v>
      </c>
      <c r="W3" s="21">
        <v>0</v>
      </c>
      <c r="X3" s="24">
        <v>52.3</v>
      </c>
      <c r="Z3" s="2">
        <v>0</v>
      </c>
      <c r="AA3" s="2">
        <v>51.27</v>
      </c>
      <c r="AC3" s="53">
        <v>0</v>
      </c>
      <c r="AD3" s="53">
        <v>56.75</v>
      </c>
      <c r="AF3" s="21">
        <v>0</v>
      </c>
      <c r="AG3" s="53">
        <v>60.23</v>
      </c>
      <c r="AI3" s="2">
        <v>0</v>
      </c>
      <c r="AJ3" s="2">
        <v>52.7</v>
      </c>
      <c r="AL3" s="2">
        <v>0</v>
      </c>
      <c r="AM3" s="2">
        <v>54.24</v>
      </c>
      <c r="AN3" s="28"/>
      <c r="AO3" s="38">
        <v>0</v>
      </c>
      <c r="AP3" s="38">
        <v>48.33</v>
      </c>
      <c r="AQ3" s="28"/>
      <c r="AR3" s="2">
        <v>0</v>
      </c>
      <c r="AS3" s="2">
        <v>51.64</v>
      </c>
      <c r="AT3" s="28"/>
      <c r="AU3" s="53">
        <v>0</v>
      </c>
      <c r="AV3" s="53">
        <v>61.18</v>
      </c>
      <c r="AW3" s="28"/>
      <c r="AX3" s="52">
        <v>0</v>
      </c>
      <c r="AY3" s="52">
        <v>59.47</v>
      </c>
      <c r="AZ3" s="28"/>
      <c r="BA3" s="53">
        <v>0</v>
      </c>
      <c r="BB3" s="53">
        <v>56.52</v>
      </c>
      <c r="BC3" s="28"/>
      <c r="BD3" s="38">
        <v>0</v>
      </c>
      <c r="BE3" s="38">
        <v>54.09</v>
      </c>
      <c r="BF3" s="28"/>
      <c r="BG3" s="38">
        <v>0</v>
      </c>
      <c r="BH3" s="38">
        <v>47.68</v>
      </c>
      <c r="BI3" s="28"/>
      <c r="BJ3" s="38">
        <v>0</v>
      </c>
      <c r="BK3" s="38">
        <v>61.89</v>
      </c>
      <c r="BL3" s="28"/>
      <c r="BM3" s="54">
        <v>0</v>
      </c>
      <c r="BN3" s="55">
        <v>56.49</v>
      </c>
      <c r="BO3" s="28"/>
      <c r="BP3" s="38">
        <v>0</v>
      </c>
      <c r="BQ3" s="38">
        <v>56.24</v>
      </c>
      <c r="BR3" s="28"/>
      <c r="BS3" s="38">
        <v>0</v>
      </c>
      <c r="BT3" s="38">
        <v>51.88</v>
      </c>
      <c r="BU3" s="28"/>
      <c r="BV3" s="38">
        <v>0</v>
      </c>
      <c r="BW3" s="38">
        <v>55.65</v>
      </c>
      <c r="BX3" s="28"/>
      <c r="BY3" s="52">
        <v>0</v>
      </c>
      <c r="BZ3" s="53">
        <v>53.76</v>
      </c>
      <c r="CA3" s="28"/>
      <c r="CB3" s="38">
        <v>0</v>
      </c>
      <c r="CC3" s="38">
        <v>57.85</v>
      </c>
      <c r="CD3" s="28"/>
      <c r="CE3" s="53">
        <v>0</v>
      </c>
      <c r="CF3" s="53">
        <v>55.92</v>
      </c>
      <c r="CG3" s="28"/>
      <c r="CH3" s="52">
        <v>0</v>
      </c>
      <c r="CI3" s="53">
        <v>63.5</v>
      </c>
      <c r="CJ3" s="28"/>
      <c r="CK3" s="38">
        <v>0</v>
      </c>
      <c r="CL3" s="38">
        <v>66.040000000000006</v>
      </c>
      <c r="CM3" s="28"/>
      <c r="CN3" s="38">
        <v>0</v>
      </c>
      <c r="CO3" s="38">
        <v>57.72</v>
      </c>
      <c r="CP3" s="28"/>
      <c r="CQ3" s="38">
        <v>0</v>
      </c>
      <c r="CR3" s="38">
        <v>57.75</v>
      </c>
      <c r="CS3" s="28"/>
      <c r="CT3" s="38">
        <v>0</v>
      </c>
      <c r="CU3" s="38">
        <v>54.78</v>
      </c>
      <c r="CV3" s="28"/>
      <c r="CW3" s="38">
        <v>0</v>
      </c>
      <c r="CX3" s="38">
        <v>59.25</v>
      </c>
      <c r="CY3" s="28"/>
      <c r="CZ3" s="38">
        <v>0</v>
      </c>
      <c r="DA3" s="38">
        <v>60.1</v>
      </c>
      <c r="DB3" s="28"/>
      <c r="DC3" s="38">
        <v>0</v>
      </c>
      <c r="DD3" s="38">
        <v>59.16</v>
      </c>
      <c r="DE3" s="28"/>
      <c r="DF3" s="38">
        <v>0</v>
      </c>
      <c r="DG3" s="38">
        <v>61.37</v>
      </c>
      <c r="DH3" s="28"/>
      <c r="DI3" s="2">
        <v>0</v>
      </c>
      <c r="DJ3" s="2">
        <v>62.4</v>
      </c>
      <c r="DK3" s="28"/>
      <c r="DL3" s="2">
        <v>0</v>
      </c>
      <c r="DM3" s="2">
        <v>66.290000000000006</v>
      </c>
      <c r="DN3" s="28"/>
      <c r="DO3" s="2">
        <v>0</v>
      </c>
      <c r="DP3" s="2">
        <v>68.069999999999993</v>
      </c>
    </row>
    <row r="4" spans="1:120" x14ac:dyDescent="0.35">
      <c r="B4" s="38">
        <v>34</v>
      </c>
      <c r="C4" s="38">
        <v>59.462000000000003</v>
      </c>
      <c r="E4" s="6">
        <v>70</v>
      </c>
      <c r="F4" s="6">
        <v>41.628</v>
      </c>
      <c r="H4" s="6">
        <v>143</v>
      </c>
      <c r="I4" s="6">
        <v>42.021000000000001</v>
      </c>
      <c r="K4" s="6">
        <v>55</v>
      </c>
      <c r="L4" s="6">
        <v>48.877000000000002</v>
      </c>
      <c r="N4" s="6">
        <v>183</v>
      </c>
      <c r="O4" s="6">
        <v>44.122999999999998</v>
      </c>
      <c r="Q4" s="21">
        <v>194</v>
      </c>
      <c r="R4" s="25">
        <v>48.52</v>
      </c>
      <c r="T4" s="21">
        <v>132</v>
      </c>
      <c r="U4" s="25">
        <v>57.3</v>
      </c>
      <c r="W4" s="21">
        <v>67</v>
      </c>
      <c r="X4" s="25">
        <v>51.622999999999998</v>
      </c>
      <c r="Z4" s="6">
        <v>14</v>
      </c>
      <c r="AA4" s="6">
        <v>51.25</v>
      </c>
      <c r="AC4" s="53">
        <v>147</v>
      </c>
      <c r="AD4" s="53">
        <v>56.212000000000003</v>
      </c>
      <c r="AF4" s="21">
        <v>25</v>
      </c>
      <c r="AG4" s="53">
        <v>59.75</v>
      </c>
      <c r="AI4" s="6">
        <v>246</v>
      </c>
      <c r="AJ4" s="6">
        <v>51.052999999999997</v>
      </c>
      <c r="AL4" s="6">
        <v>38</v>
      </c>
      <c r="AM4" s="6">
        <v>53.671999999999997</v>
      </c>
      <c r="AN4" s="28"/>
      <c r="AO4" s="38">
        <v>55</v>
      </c>
      <c r="AP4" s="38">
        <v>48.826999999999998</v>
      </c>
      <c r="AQ4" s="28"/>
      <c r="AR4" s="6">
        <v>67</v>
      </c>
      <c r="AS4" s="6">
        <v>52.24</v>
      </c>
      <c r="AT4" s="28"/>
      <c r="AU4" s="53">
        <v>108</v>
      </c>
      <c r="AV4" s="53">
        <v>63.311999999999998</v>
      </c>
      <c r="AW4" s="28"/>
      <c r="AX4" s="52">
        <v>102</v>
      </c>
      <c r="AY4" s="52">
        <v>58.344000000000001</v>
      </c>
      <c r="AZ4" s="28"/>
      <c r="BA4" s="53">
        <v>190</v>
      </c>
      <c r="BB4" s="53">
        <v>58.326000000000001</v>
      </c>
      <c r="BC4" s="28"/>
      <c r="BD4" s="38">
        <v>76</v>
      </c>
      <c r="BE4" s="38">
        <v>53.87</v>
      </c>
      <c r="BF4" s="28"/>
      <c r="BG4" s="38">
        <v>40</v>
      </c>
      <c r="BH4" s="38">
        <v>47.411999999999999</v>
      </c>
      <c r="BI4" s="28"/>
      <c r="BJ4" s="38">
        <v>14</v>
      </c>
      <c r="BK4" s="38">
        <v>61.83</v>
      </c>
      <c r="BL4" s="28"/>
      <c r="BM4" s="52">
        <v>81</v>
      </c>
      <c r="BN4" s="56">
        <v>56.216999999999999</v>
      </c>
      <c r="BO4" s="28"/>
      <c r="BP4" s="38">
        <v>26</v>
      </c>
      <c r="BQ4" s="38">
        <v>56.9</v>
      </c>
      <c r="BR4" s="28"/>
      <c r="BS4" s="38">
        <v>72</v>
      </c>
      <c r="BT4" s="38">
        <v>50.567999999999998</v>
      </c>
      <c r="BU4" s="28"/>
      <c r="BV4" s="38">
        <v>56</v>
      </c>
      <c r="BW4" s="38">
        <v>56.57</v>
      </c>
      <c r="BX4" s="28"/>
      <c r="BY4" s="52">
        <v>73</v>
      </c>
      <c r="BZ4" s="53">
        <v>53.895000000000003</v>
      </c>
      <c r="CA4" s="28"/>
      <c r="CB4" s="38">
        <v>15</v>
      </c>
      <c r="CC4" s="38">
        <v>57.8</v>
      </c>
      <c r="CD4" s="28"/>
      <c r="CE4" s="53">
        <v>94</v>
      </c>
      <c r="CF4" s="53">
        <v>54.637999999999998</v>
      </c>
      <c r="CG4" s="28"/>
      <c r="CH4" s="52">
        <v>110</v>
      </c>
      <c r="CI4" s="53">
        <v>63.156999999999996</v>
      </c>
      <c r="CJ4" s="28"/>
      <c r="CK4" s="38">
        <v>30</v>
      </c>
      <c r="CL4" s="38">
        <v>65.69</v>
      </c>
      <c r="CM4" s="28"/>
      <c r="CN4" s="38">
        <v>8</v>
      </c>
      <c r="CO4" s="38">
        <v>57.98</v>
      </c>
      <c r="CP4" s="28"/>
      <c r="CQ4" s="38">
        <v>19</v>
      </c>
      <c r="CR4" s="38">
        <v>57.8</v>
      </c>
      <c r="CS4" s="28"/>
      <c r="CT4" s="38">
        <v>7</v>
      </c>
      <c r="CU4" s="38">
        <v>55.54</v>
      </c>
      <c r="CV4" s="28"/>
      <c r="CW4" s="38">
        <v>106</v>
      </c>
      <c r="CX4" s="38">
        <v>60.322000000000003</v>
      </c>
      <c r="CY4" s="28"/>
      <c r="CZ4" s="38">
        <v>103</v>
      </c>
      <c r="DA4" s="38">
        <v>59.493000000000002</v>
      </c>
      <c r="DB4" s="28"/>
      <c r="DC4" s="38">
        <v>57</v>
      </c>
      <c r="DD4" s="38">
        <v>57.353999999999999</v>
      </c>
      <c r="DE4" s="28"/>
      <c r="DF4" s="38">
        <v>92</v>
      </c>
      <c r="DG4" s="38">
        <v>60.786000000000001</v>
      </c>
      <c r="DH4" s="28"/>
      <c r="DI4" s="6">
        <v>10</v>
      </c>
      <c r="DJ4" s="6">
        <v>62.228000000000002</v>
      </c>
      <c r="DK4" s="28"/>
      <c r="DL4" s="6">
        <v>165</v>
      </c>
      <c r="DM4" s="6">
        <v>65.884</v>
      </c>
      <c r="DN4" s="28"/>
      <c r="DO4" s="6">
        <v>143</v>
      </c>
      <c r="DP4" s="6">
        <v>67.608000000000004</v>
      </c>
    </row>
    <row r="5" spans="1:120" x14ac:dyDescent="0.35">
      <c r="B5" s="38">
        <v>170</v>
      </c>
      <c r="C5" s="38">
        <v>57.866999999999997</v>
      </c>
      <c r="E5" s="6">
        <v>173</v>
      </c>
      <c r="F5" s="6">
        <v>40.747</v>
      </c>
      <c r="H5" s="6">
        <v>350</v>
      </c>
      <c r="I5" s="6">
        <v>41.082000000000001</v>
      </c>
      <c r="K5" s="6">
        <v>176</v>
      </c>
      <c r="L5" s="6">
        <v>50.066000000000003</v>
      </c>
      <c r="N5" s="6">
        <v>297</v>
      </c>
      <c r="O5" s="6">
        <v>46.017000000000003</v>
      </c>
      <c r="Q5" s="21">
        <v>294</v>
      </c>
      <c r="R5" s="25">
        <v>47.462000000000003</v>
      </c>
      <c r="T5" s="21">
        <v>245</v>
      </c>
      <c r="U5" s="25">
        <v>48.494999999999997</v>
      </c>
      <c r="W5" s="21">
        <v>305</v>
      </c>
      <c r="X5" s="25">
        <v>54.51</v>
      </c>
      <c r="Z5" s="6">
        <v>101</v>
      </c>
      <c r="AA5" s="6">
        <v>51.926000000000002</v>
      </c>
      <c r="AB5" s="13" t="s">
        <v>158</v>
      </c>
      <c r="AC5" s="40">
        <v>176</v>
      </c>
      <c r="AD5" s="40">
        <v>57.073</v>
      </c>
      <c r="AF5" s="21">
        <v>145</v>
      </c>
      <c r="AG5" s="53">
        <v>53.924999999999997</v>
      </c>
      <c r="AI5" s="6">
        <v>447</v>
      </c>
      <c r="AJ5" s="6">
        <v>53.637</v>
      </c>
      <c r="AL5" s="6">
        <v>147</v>
      </c>
      <c r="AM5" s="6">
        <v>53.805999999999997</v>
      </c>
      <c r="AN5" s="28"/>
      <c r="AO5" s="38">
        <v>153</v>
      </c>
      <c r="AP5" s="38">
        <v>46.381999999999998</v>
      </c>
      <c r="AQ5" s="28"/>
      <c r="AR5" s="6">
        <v>162</v>
      </c>
      <c r="AS5" s="6">
        <v>51.756999999999998</v>
      </c>
      <c r="AT5" s="28"/>
      <c r="AU5" s="53">
        <v>128</v>
      </c>
      <c r="AV5" s="53">
        <v>62.116</v>
      </c>
      <c r="AW5" s="28"/>
      <c r="AX5" s="52">
        <v>287</v>
      </c>
      <c r="AY5" s="52">
        <v>54.643999999999998</v>
      </c>
      <c r="AZ5" s="28"/>
      <c r="BA5" s="53">
        <v>315</v>
      </c>
      <c r="BB5" s="53">
        <v>55.542000000000002</v>
      </c>
      <c r="BC5" s="28"/>
      <c r="BD5" s="38">
        <v>192</v>
      </c>
      <c r="BE5" s="38">
        <v>53.914000000000001</v>
      </c>
      <c r="BF5" s="28"/>
      <c r="BG5" s="38">
        <v>139</v>
      </c>
      <c r="BH5" s="38">
        <v>48.06</v>
      </c>
      <c r="BI5" s="28"/>
      <c r="BJ5" s="38">
        <v>239</v>
      </c>
      <c r="BK5" s="38">
        <v>62.31</v>
      </c>
      <c r="BL5" s="28"/>
      <c r="BM5" s="52">
        <v>172</v>
      </c>
      <c r="BN5" s="56">
        <v>55.951000000000001</v>
      </c>
      <c r="BO5" s="28"/>
      <c r="BP5" s="38">
        <v>127</v>
      </c>
      <c r="BQ5" s="38">
        <v>55.536000000000001</v>
      </c>
      <c r="BR5" s="28"/>
      <c r="BS5" s="38">
        <v>193</v>
      </c>
      <c r="BT5" s="38">
        <v>50.853999999999999</v>
      </c>
      <c r="BU5" s="28"/>
      <c r="BV5" s="38">
        <v>96</v>
      </c>
      <c r="BW5" s="38">
        <v>58.3</v>
      </c>
      <c r="BX5" s="28"/>
      <c r="BY5" s="52">
        <v>293</v>
      </c>
      <c r="BZ5" s="53">
        <v>51.731000000000002</v>
      </c>
      <c r="CA5" s="28"/>
      <c r="CB5" s="38">
        <v>186</v>
      </c>
      <c r="CC5" s="38">
        <v>55.981999999999999</v>
      </c>
      <c r="CD5" s="28"/>
      <c r="CE5" s="53">
        <v>192</v>
      </c>
      <c r="CF5" s="53">
        <v>55.04</v>
      </c>
      <c r="CG5" s="28"/>
      <c r="CH5" s="52">
        <v>201</v>
      </c>
      <c r="CI5" s="53">
        <v>63.854999999999997</v>
      </c>
      <c r="CJ5" s="28"/>
      <c r="CK5" s="38">
        <v>130</v>
      </c>
      <c r="CL5" s="38">
        <v>65.616</v>
      </c>
      <c r="CM5" s="28"/>
      <c r="CN5" s="38">
        <v>101</v>
      </c>
      <c r="CO5" s="38">
        <v>57.747999999999998</v>
      </c>
      <c r="CP5" s="28"/>
      <c r="CQ5" s="38">
        <v>78</v>
      </c>
      <c r="CR5" s="38">
        <v>57.805</v>
      </c>
      <c r="CS5" s="28"/>
      <c r="CT5" s="38">
        <v>116</v>
      </c>
      <c r="CU5" s="38">
        <v>53.889000000000003</v>
      </c>
      <c r="CV5" s="28"/>
      <c r="CW5" s="38">
        <v>236</v>
      </c>
      <c r="CX5" s="38">
        <v>60.16</v>
      </c>
      <c r="CY5" s="28"/>
      <c r="CZ5" s="38">
        <v>313</v>
      </c>
      <c r="DA5" s="38">
        <v>56.936</v>
      </c>
      <c r="DB5" s="28"/>
      <c r="DC5" s="38">
        <v>224</v>
      </c>
      <c r="DD5" s="38">
        <v>60.472999999999999</v>
      </c>
      <c r="DE5" s="28"/>
      <c r="DF5" s="38">
        <v>189</v>
      </c>
      <c r="DG5" s="38">
        <v>60.465000000000003</v>
      </c>
      <c r="DH5" s="28"/>
      <c r="DI5" s="6">
        <v>107</v>
      </c>
      <c r="DJ5" s="6">
        <v>61.146000000000001</v>
      </c>
      <c r="DK5" s="28"/>
      <c r="DL5" s="6">
        <v>270</v>
      </c>
      <c r="DM5" s="6">
        <v>66.653000000000006</v>
      </c>
      <c r="DN5" s="28"/>
      <c r="DO5" s="6">
        <v>476</v>
      </c>
      <c r="DP5" s="6">
        <v>68.682000000000002</v>
      </c>
    </row>
    <row r="6" spans="1:120" x14ac:dyDescent="0.35">
      <c r="B6" s="38">
        <v>214</v>
      </c>
      <c r="C6" s="38">
        <v>57.701999999999998</v>
      </c>
      <c r="E6" s="25">
        <v>294</v>
      </c>
      <c r="F6" s="25">
        <v>41.484000000000002</v>
      </c>
      <c r="H6" s="25">
        <v>468</v>
      </c>
      <c r="I6" s="25">
        <v>40.533000000000001</v>
      </c>
      <c r="K6" s="6">
        <v>286</v>
      </c>
      <c r="L6" s="6">
        <v>50.523000000000003</v>
      </c>
      <c r="N6" s="6">
        <v>442</v>
      </c>
      <c r="O6" s="6">
        <v>47.357999999999997</v>
      </c>
      <c r="Q6" s="21">
        <v>395</v>
      </c>
      <c r="R6" s="25">
        <v>47.902000000000001</v>
      </c>
      <c r="T6" s="21">
        <v>474</v>
      </c>
      <c r="U6" s="25">
        <v>49.878999999999998</v>
      </c>
      <c r="W6" s="21">
        <v>398</v>
      </c>
      <c r="X6" s="25">
        <v>55.402999999999999</v>
      </c>
      <c r="Z6" s="6">
        <v>206</v>
      </c>
      <c r="AA6" s="6">
        <v>51.603999999999999</v>
      </c>
      <c r="AC6" s="53">
        <v>305</v>
      </c>
      <c r="AD6" s="53">
        <v>55.35</v>
      </c>
      <c r="AF6" s="21">
        <v>349</v>
      </c>
      <c r="AG6" s="53">
        <v>54.96</v>
      </c>
      <c r="AI6" s="6">
        <v>616</v>
      </c>
      <c r="AJ6" s="6">
        <v>53.277999999999999</v>
      </c>
      <c r="AL6" s="6">
        <v>250</v>
      </c>
      <c r="AM6" s="6">
        <v>54.898000000000003</v>
      </c>
      <c r="AN6" s="13" t="s">
        <v>111</v>
      </c>
      <c r="AO6" s="15">
        <v>253</v>
      </c>
      <c r="AP6" s="15">
        <v>46.273000000000003</v>
      </c>
      <c r="AQ6" s="28"/>
      <c r="AR6" s="6">
        <v>256</v>
      </c>
      <c r="AS6" s="6">
        <v>53.23</v>
      </c>
      <c r="AT6" s="28"/>
      <c r="AU6" s="53">
        <v>239</v>
      </c>
      <c r="AV6" s="53">
        <v>61.302999999999997</v>
      </c>
      <c r="AW6" s="28"/>
      <c r="AX6" s="52">
        <v>394</v>
      </c>
      <c r="AY6" s="52">
        <v>55.415999999999997</v>
      </c>
      <c r="AZ6" s="28"/>
      <c r="BA6" s="53">
        <v>422</v>
      </c>
      <c r="BB6" s="53">
        <v>56.765000000000001</v>
      </c>
      <c r="BC6" s="28"/>
      <c r="BD6" s="38">
        <v>296</v>
      </c>
      <c r="BE6" s="38">
        <v>53.591999999999999</v>
      </c>
      <c r="BF6" s="28"/>
      <c r="BG6" s="38">
        <v>438</v>
      </c>
      <c r="BH6" s="38">
        <v>48.786000000000001</v>
      </c>
      <c r="BI6" s="28"/>
      <c r="BJ6" s="38">
        <v>436</v>
      </c>
      <c r="BK6" s="38">
        <v>62.295000000000002</v>
      </c>
      <c r="BL6" s="28"/>
      <c r="BM6" s="52">
        <v>582</v>
      </c>
      <c r="BN6" s="56">
        <v>56.029000000000003</v>
      </c>
      <c r="BO6" s="28"/>
      <c r="BP6" s="38">
        <v>208</v>
      </c>
      <c r="BQ6" s="38">
        <v>53.665999999999997</v>
      </c>
      <c r="BR6" s="28"/>
      <c r="BS6" s="38">
        <v>447</v>
      </c>
      <c r="BT6" s="38">
        <v>51.997</v>
      </c>
      <c r="BU6" s="28"/>
      <c r="BV6" s="38">
        <v>366</v>
      </c>
      <c r="BW6" s="38">
        <v>58.734000000000002</v>
      </c>
      <c r="BX6" s="28"/>
      <c r="BY6" s="52">
        <v>451</v>
      </c>
      <c r="BZ6" s="53">
        <v>53.725999999999999</v>
      </c>
      <c r="CA6" s="28"/>
      <c r="CB6" s="38">
        <v>313</v>
      </c>
      <c r="CC6" s="38">
        <v>57.594999999999999</v>
      </c>
      <c r="CD6" s="28"/>
      <c r="CE6" s="53">
        <v>317</v>
      </c>
      <c r="CF6" s="53">
        <v>55.198</v>
      </c>
      <c r="CG6" s="28"/>
      <c r="CH6" s="52">
        <v>699</v>
      </c>
      <c r="CI6" s="53">
        <v>65.614000000000004</v>
      </c>
      <c r="CJ6" s="28"/>
      <c r="CK6" s="38">
        <v>377</v>
      </c>
      <c r="CL6" s="38">
        <v>64.685000000000002</v>
      </c>
      <c r="CM6" s="28"/>
      <c r="CN6" s="38">
        <v>236</v>
      </c>
      <c r="CO6" s="38">
        <v>57.249000000000002</v>
      </c>
      <c r="CP6" s="28"/>
      <c r="CQ6" s="38">
        <v>205</v>
      </c>
      <c r="CR6" s="38">
        <v>58.588999999999999</v>
      </c>
      <c r="CS6" s="19" t="s">
        <v>117</v>
      </c>
      <c r="CT6" s="9">
        <v>213</v>
      </c>
      <c r="CU6" s="9">
        <v>52.582999999999998</v>
      </c>
      <c r="CV6" s="28"/>
      <c r="CW6" s="38">
        <v>368</v>
      </c>
      <c r="CX6" s="38">
        <v>60.497</v>
      </c>
      <c r="CY6" s="28"/>
      <c r="CZ6" s="38">
        <v>441</v>
      </c>
      <c r="DA6" s="38">
        <v>59.465000000000003</v>
      </c>
      <c r="DB6" s="28"/>
      <c r="DC6" s="38">
        <v>398</v>
      </c>
      <c r="DD6" s="38">
        <v>58.401000000000003</v>
      </c>
      <c r="DE6" s="28"/>
      <c r="DF6" s="38">
        <v>285</v>
      </c>
      <c r="DG6" s="38">
        <v>60.197000000000003</v>
      </c>
      <c r="DH6" s="28"/>
      <c r="DI6" s="6">
        <v>243</v>
      </c>
      <c r="DJ6" s="6">
        <v>60.932000000000002</v>
      </c>
      <c r="DK6" s="28"/>
      <c r="DL6" s="6">
        <v>376</v>
      </c>
      <c r="DM6" s="6">
        <v>65.644000000000005</v>
      </c>
      <c r="DN6" s="28"/>
      <c r="DO6" s="6">
        <v>614</v>
      </c>
      <c r="DP6" s="6">
        <v>68.042000000000002</v>
      </c>
    </row>
    <row r="7" spans="1:120" x14ac:dyDescent="0.35">
      <c r="B7" s="38">
        <v>393</v>
      </c>
      <c r="C7" s="38">
        <v>58.088000000000001</v>
      </c>
      <c r="E7" s="25">
        <v>387</v>
      </c>
      <c r="F7" s="25">
        <v>42.427999999999997</v>
      </c>
      <c r="H7" s="25">
        <v>643</v>
      </c>
      <c r="I7" s="25">
        <v>41.073999999999998</v>
      </c>
      <c r="K7" s="6">
        <v>465</v>
      </c>
      <c r="L7" s="6">
        <v>52.957000000000001</v>
      </c>
      <c r="N7" s="6">
        <v>499</v>
      </c>
      <c r="O7" s="6">
        <v>49.207999999999998</v>
      </c>
      <c r="Q7" s="21">
        <v>494</v>
      </c>
      <c r="R7" s="25">
        <v>47.765000000000001</v>
      </c>
      <c r="T7" s="21">
        <v>673</v>
      </c>
      <c r="U7" s="25">
        <v>51.45</v>
      </c>
      <c r="W7" s="21">
        <v>472</v>
      </c>
      <c r="X7" s="25">
        <v>57.500999999999998</v>
      </c>
      <c r="Z7" s="6">
        <v>312</v>
      </c>
      <c r="AA7" s="6">
        <v>50.287999999999997</v>
      </c>
      <c r="AC7" s="53">
        <v>404</v>
      </c>
      <c r="AD7" s="53">
        <v>55.704000000000001</v>
      </c>
      <c r="AF7" s="21">
        <v>597</v>
      </c>
      <c r="AG7" s="53">
        <v>56.595999999999997</v>
      </c>
      <c r="AI7" s="6">
        <v>789</v>
      </c>
      <c r="AJ7" s="6">
        <v>55.792999999999999</v>
      </c>
      <c r="AL7" s="6">
        <v>378</v>
      </c>
      <c r="AM7" s="6">
        <v>54.872999999999998</v>
      </c>
      <c r="AN7" s="28"/>
      <c r="AO7" s="38">
        <v>390</v>
      </c>
      <c r="AP7" s="6">
        <v>50.082999999999998</v>
      </c>
      <c r="AQ7" s="28"/>
      <c r="AR7" s="6">
        <v>377</v>
      </c>
      <c r="AS7" s="6">
        <v>51.838000000000001</v>
      </c>
      <c r="AT7" s="28"/>
      <c r="AU7" s="53">
        <v>341</v>
      </c>
      <c r="AV7" s="53">
        <v>60.63</v>
      </c>
      <c r="AW7" s="28"/>
      <c r="AX7" s="52">
        <v>521</v>
      </c>
      <c r="AY7" s="52">
        <v>55.942</v>
      </c>
      <c r="AZ7" s="28"/>
      <c r="BA7" s="53">
        <v>523</v>
      </c>
      <c r="BB7" s="53">
        <v>56.045000000000002</v>
      </c>
      <c r="BC7" s="28"/>
      <c r="BD7" s="38">
        <v>393</v>
      </c>
      <c r="BE7" s="38">
        <v>53.72</v>
      </c>
      <c r="BF7" s="28"/>
      <c r="BG7" s="38">
        <v>535</v>
      </c>
      <c r="BH7" s="38">
        <v>50.408999999999999</v>
      </c>
      <c r="BI7" s="28"/>
      <c r="BJ7" s="38">
        <v>564</v>
      </c>
      <c r="BK7" s="38">
        <v>59.868000000000002</v>
      </c>
      <c r="BL7" s="28"/>
      <c r="BM7" s="52">
        <v>834</v>
      </c>
      <c r="BN7" s="56">
        <v>57.335999999999999</v>
      </c>
      <c r="BO7" s="28"/>
      <c r="BP7" s="38">
        <v>349</v>
      </c>
      <c r="BQ7" s="38">
        <v>53.889000000000003</v>
      </c>
      <c r="BR7" s="13" t="s">
        <v>124</v>
      </c>
      <c r="BS7" s="15">
        <v>666</v>
      </c>
      <c r="BT7" s="15">
        <v>48.554000000000002</v>
      </c>
      <c r="BU7" s="28"/>
      <c r="BV7" s="38">
        <v>502</v>
      </c>
      <c r="BW7" s="38">
        <v>56.63</v>
      </c>
      <c r="BX7" s="28"/>
      <c r="BY7" s="52">
        <v>590</v>
      </c>
      <c r="BZ7" s="53">
        <v>54.05</v>
      </c>
      <c r="CA7" s="28"/>
      <c r="CB7" s="38">
        <v>448</v>
      </c>
      <c r="CC7" s="38">
        <v>58.078000000000003</v>
      </c>
      <c r="CD7" s="28"/>
      <c r="CE7" s="53">
        <v>533</v>
      </c>
      <c r="CF7" s="53">
        <v>55.908000000000001</v>
      </c>
      <c r="CG7" s="28"/>
      <c r="CH7" s="52">
        <v>929</v>
      </c>
      <c r="CI7" s="53">
        <v>64.564999999999998</v>
      </c>
      <c r="CJ7" s="28"/>
      <c r="CK7" s="38">
        <v>583</v>
      </c>
      <c r="CL7" s="38">
        <v>64.477000000000004</v>
      </c>
      <c r="CM7" s="19" t="s">
        <v>119</v>
      </c>
      <c r="CN7" s="9">
        <v>335</v>
      </c>
      <c r="CO7" s="9">
        <v>54.289000000000001</v>
      </c>
      <c r="CP7" s="28"/>
      <c r="CQ7" s="38">
        <v>328</v>
      </c>
      <c r="CR7" s="38">
        <v>55.45</v>
      </c>
      <c r="CS7" s="28"/>
      <c r="CT7" s="38">
        <v>433</v>
      </c>
      <c r="CU7" s="38">
        <v>53.447000000000003</v>
      </c>
      <c r="CV7" s="28"/>
      <c r="CW7" s="38">
        <v>470</v>
      </c>
      <c r="CX7" s="38">
        <v>60.725000000000001</v>
      </c>
      <c r="CY7" s="28"/>
      <c r="CZ7" s="38">
        <v>607</v>
      </c>
      <c r="DA7" s="38">
        <v>57.353999999999999</v>
      </c>
      <c r="DB7" s="28"/>
      <c r="DC7" s="38">
        <v>430</v>
      </c>
      <c r="DD7" s="38">
        <v>59.505000000000003</v>
      </c>
      <c r="DE7" s="28"/>
      <c r="DF7" s="38">
        <v>379</v>
      </c>
      <c r="DG7" s="38">
        <v>59.466000000000001</v>
      </c>
      <c r="DH7" s="28"/>
      <c r="DI7" s="6">
        <v>467</v>
      </c>
      <c r="DJ7" s="6">
        <v>61.771999999999998</v>
      </c>
      <c r="DK7" s="28"/>
      <c r="DL7" s="6">
        <v>505</v>
      </c>
      <c r="DM7" s="6">
        <v>64.287000000000006</v>
      </c>
      <c r="DN7" s="28"/>
      <c r="DO7" s="6">
        <v>834</v>
      </c>
      <c r="DP7" s="6">
        <v>66.968000000000004</v>
      </c>
    </row>
    <row r="8" spans="1:120" x14ac:dyDescent="0.35">
      <c r="B8" s="38">
        <v>471</v>
      </c>
      <c r="C8" s="38">
        <v>56.798999999999999</v>
      </c>
      <c r="E8" s="25">
        <v>495</v>
      </c>
      <c r="F8" s="25">
        <v>42.466000000000001</v>
      </c>
      <c r="H8" s="25">
        <v>738</v>
      </c>
      <c r="I8" s="25">
        <v>42.793999999999997</v>
      </c>
      <c r="K8" s="6">
        <v>707</v>
      </c>
      <c r="L8" s="6">
        <v>57.085999999999999</v>
      </c>
      <c r="N8" s="6">
        <v>539</v>
      </c>
      <c r="O8" s="6">
        <v>48.246000000000002</v>
      </c>
      <c r="Q8" s="21">
        <v>712</v>
      </c>
      <c r="R8" s="25">
        <v>46.81</v>
      </c>
      <c r="T8" s="21">
        <v>898</v>
      </c>
      <c r="U8" s="25">
        <v>51.334000000000003</v>
      </c>
      <c r="W8" s="21">
        <v>524</v>
      </c>
      <c r="X8" s="25">
        <v>58.396999999999998</v>
      </c>
      <c r="Z8" s="6">
        <v>415</v>
      </c>
      <c r="AA8" s="6">
        <v>49.079000000000001</v>
      </c>
      <c r="AC8" s="53">
        <v>590</v>
      </c>
      <c r="AD8" s="53">
        <v>57.472999999999999</v>
      </c>
      <c r="AE8" s="19" t="s">
        <v>54</v>
      </c>
      <c r="AF8" s="31">
        <v>735</v>
      </c>
      <c r="AG8" s="9">
        <v>55.89</v>
      </c>
      <c r="AI8" s="6">
        <v>1179</v>
      </c>
      <c r="AJ8" s="6">
        <v>54.7</v>
      </c>
      <c r="AL8" s="6">
        <v>578</v>
      </c>
      <c r="AM8" s="6">
        <v>55.43</v>
      </c>
      <c r="AN8" s="28"/>
      <c r="AO8" s="38">
        <v>618</v>
      </c>
      <c r="AP8" s="6">
        <v>50.826000000000001</v>
      </c>
      <c r="AQ8" s="28"/>
      <c r="AR8" s="6">
        <v>481</v>
      </c>
      <c r="AS8" s="6">
        <v>51.52</v>
      </c>
      <c r="AT8" s="28"/>
      <c r="AU8" s="53">
        <v>449</v>
      </c>
      <c r="AV8" s="53">
        <v>60.792999999999999</v>
      </c>
      <c r="AW8" s="28"/>
      <c r="AX8" s="52">
        <v>627</v>
      </c>
      <c r="AY8" s="52">
        <v>58.978999999999999</v>
      </c>
      <c r="AZ8" s="28"/>
      <c r="BA8" s="53">
        <v>748</v>
      </c>
      <c r="BB8" s="53">
        <v>53.429000000000002</v>
      </c>
      <c r="BC8" s="28"/>
      <c r="BD8" s="38">
        <v>504</v>
      </c>
      <c r="BE8" s="38">
        <v>54.24</v>
      </c>
      <c r="BF8" s="28"/>
      <c r="BG8" s="38">
        <v>640</v>
      </c>
      <c r="BH8" s="38">
        <v>51.69</v>
      </c>
      <c r="BI8" s="28"/>
      <c r="BJ8" s="38">
        <v>685</v>
      </c>
      <c r="BK8" s="38">
        <v>60.296999999999997</v>
      </c>
      <c r="BL8" s="28"/>
      <c r="BM8" s="52">
        <v>983</v>
      </c>
      <c r="BN8" s="56">
        <v>55.697000000000003</v>
      </c>
      <c r="BO8" s="28"/>
      <c r="BP8" s="38">
        <v>599</v>
      </c>
      <c r="BQ8" s="38">
        <v>56.457999999999998</v>
      </c>
      <c r="BR8" s="28"/>
      <c r="BS8" s="38">
        <v>739</v>
      </c>
      <c r="BT8" s="38">
        <v>52.274999999999999</v>
      </c>
      <c r="BU8" s="28"/>
      <c r="BV8" s="38">
        <v>596</v>
      </c>
      <c r="BW8" s="38">
        <v>54.146000000000001</v>
      </c>
      <c r="BX8" s="28"/>
      <c r="BY8" s="52">
        <v>950</v>
      </c>
      <c r="BZ8" s="53">
        <v>51.204000000000001</v>
      </c>
      <c r="CA8" s="28"/>
      <c r="CB8" s="38">
        <v>584</v>
      </c>
      <c r="CC8" s="38">
        <v>57.122999999999998</v>
      </c>
      <c r="CD8" s="28"/>
      <c r="CE8" s="53">
        <v>629</v>
      </c>
      <c r="CF8" s="53">
        <v>55.277000000000001</v>
      </c>
      <c r="CG8" s="28"/>
      <c r="CH8" s="52">
        <v>1125</v>
      </c>
      <c r="CI8" s="53">
        <v>61.725000000000001</v>
      </c>
      <c r="CJ8" s="28"/>
      <c r="CK8" s="38">
        <v>784</v>
      </c>
      <c r="CL8" s="38">
        <v>64.581999999999994</v>
      </c>
      <c r="CM8" s="28"/>
      <c r="CN8" s="38">
        <v>467</v>
      </c>
      <c r="CO8" s="38">
        <v>56.756999999999998</v>
      </c>
      <c r="CP8" s="28"/>
      <c r="CQ8" s="38">
        <v>342</v>
      </c>
      <c r="CR8" s="38">
        <v>54.706000000000003</v>
      </c>
      <c r="CS8" s="28"/>
      <c r="CT8" s="38">
        <v>535</v>
      </c>
      <c r="CU8" s="38">
        <v>55.710999999999999</v>
      </c>
      <c r="CV8" s="28"/>
      <c r="CW8" s="38">
        <v>599</v>
      </c>
      <c r="CX8" s="38">
        <v>60.866</v>
      </c>
      <c r="CY8" s="28"/>
      <c r="CZ8" s="38">
        <v>769</v>
      </c>
      <c r="DA8" s="38">
        <v>60.472999999999999</v>
      </c>
      <c r="DB8" s="28"/>
      <c r="DC8" s="38">
        <v>617</v>
      </c>
      <c r="DD8" s="38">
        <v>59.87</v>
      </c>
      <c r="DE8" s="28"/>
      <c r="DF8" s="38">
        <v>507</v>
      </c>
      <c r="DG8" s="38">
        <v>55.622</v>
      </c>
      <c r="DH8" s="28"/>
      <c r="DI8" s="6">
        <v>571</v>
      </c>
      <c r="DJ8" s="6">
        <v>62.411999999999999</v>
      </c>
      <c r="DK8" s="28"/>
      <c r="DL8" s="6">
        <v>600</v>
      </c>
      <c r="DM8" s="6">
        <v>65.052000000000007</v>
      </c>
      <c r="DN8" s="28"/>
      <c r="DO8" s="6">
        <v>983</v>
      </c>
      <c r="DP8" s="6">
        <v>66.430999999999997</v>
      </c>
    </row>
    <row r="9" spans="1:120" x14ac:dyDescent="0.35">
      <c r="A9" s="19" t="s">
        <v>157</v>
      </c>
      <c r="B9" s="39">
        <v>572</v>
      </c>
      <c r="C9" s="39">
        <v>57.073</v>
      </c>
      <c r="E9" s="25">
        <v>593</v>
      </c>
      <c r="F9" s="25">
        <v>42.29</v>
      </c>
      <c r="H9" s="25">
        <v>850</v>
      </c>
      <c r="I9" s="25">
        <v>44.156999999999996</v>
      </c>
      <c r="K9" s="6">
        <v>837</v>
      </c>
      <c r="L9" s="6">
        <v>57.311999999999998</v>
      </c>
      <c r="N9" s="6">
        <v>612</v>
      </c>
      <c r="O9" s="6">
        <v>49.058</v>
      </c>
      <c r="Q9" s="21">
        <v>977</v>
      </c>
      <c r="R9" s="25">
        <v>50.305999999999997</v>
      </c>
      <c r="T9" s="21">
        <v>999</v>
      </c>
      <c r="U9" s="25">
        <v>51.902999999999999</v>
      </c>
      <c r="W9" s="21">
        <v>644</v>
      </c>
      <c r="X9" s="25">
        <v>57.991999999999997</v>
      </c>
      <c r="Z9" s="6">
        <v>508</v>
      </c>
      <c r="AA9" s="6">
        <v>48.56</v>
      </c>
      <c r="AC9" s="53">
        <v>724</v>
      </c>
      <c r="AD9" s="53">
        <v>57.890999999999998</v>
      </c>
      <c r="AI9" s="6">
        <v>1635</v>
      </c>
      <c r="AJ9" s="6">
        <v>53.277000000000001</v>
      </c>
      <c r="AL9" s="6">
        <v>783</v>
      </c>
      <c r="AM9" s="6">
        <v>57.712000000000003</v>
      </c>
      <c r="AN9" s="28"/>
      <c r="AO9" s="38">
        <v>747</v>
      </c>
      <c r="AP9" s="6">
        <v>48.890999999999998</v>
      </c>
      <c r="AQ9" s="28"/>
      <c r="AR9" s="6">
        <v>763</v>
      </c>
      <c r="AS9" s="6">
        <v>50.009</v>
      </c>
      <c r="AT9" s="28"/>
      <c r="AU9" s="53">
        <v>547</v>
      </c>
      <c r="AV9" s="53">
        <v>60.584000000000003</v>
      </c>
      <c r="AW9" s="19" t="s">
        <v>54</v>
      </c>
      <c r="AX9" s="31">
        <v>833</v>
      </c>
      <c r="AY9" s="31">
        <v>55.89</v>
      </c>
      <c r="AZ9" s="28"/>
      <c r="BA9" s="53">
        <v>919</v>
      </c>
      <c r="BB9" s="53">
        <v>55.984000000000002</v>
      </c>
      <c r="BC9" s="28"/>
      <c r="BD9" s="38">
        <v>717</v>
      </c>
      <c r="BE9" s="38">
        <v>52.515000000000001</v>
      </c>
      <c r="BF9" s="28"/>
      <c r="BG9" s="38">
        <v>771</v>
      </c>
      <c r="BH9" s="38">
        <v>52.573999999999998</v>
      </c>
      <c r="BI9" s="28"/>
      <c r="BJ9" s="38">
        <v>787</v>
      </c>
      <c r="BK9" s="38">
        <v>60.420999999999999</v>
      </c>
      <c r="BL9" s="28"/>
      <c r="BM9" s="52">
        <v>1123</v>
      </c>
      <c r="BN9" s="56">
        <v>56.845999999999997</v>
      </c>
      <c r="BO9" s="28"/>
      <c r="BP9" s="38">
        <v>701</v>
      </c>
      <c r="BQ9" s="38">
        <v>52.131999999999998</v>
      </c>
      <c r="BR9" s="28"/>
      <c r="BS9" s="38">
        <v>840</v>
      </c>
      <c r="BT9" s="38">
        <v>54.713999999999999</v>
      </c>
      <c r="BU9" s="28"/>
      <c r="BV9" s="38">
        <v>845</v>
      </c>
      <c r="BW9" s="38">
        <v>51.375</v>
      </c>
      <c r="BX9" s="13" t="s">
        <v>125</v>
      </c>
      <c r="BY9" s="27">
        <v>1029</v>
      </c>
      <c r="BZ9" s="15">
        <v>48.613</v>
      </c>
      <c r="CA9" s="19" t="s">
        <v>116</v>
      </c>
      <c r="CB9" s="9">
        <v>669</v>
      </c>
      <c r="CC9" s="9">
        <v>57.951000000000001</v>
      </c>
      <c r="CD9" s="28"/>
      <c r="CE9" s="53">
        <v>746</v>
      </c>
      <c r="CF9" s="53">
        <v>55.473999999999997</v>
      </c>
      <c r="CG9" s="28"/>
      <c r="CH9" s="52">
        <v>1221</v>
      </c>
      <c r="CI9" s="53">
        <v>62.656999999999996</v>
      </c>
      <c r="CJ9" s="28"/>
      <c r="CK9" s="38">
        <v>928</v>
      </c>
      <c r="CL9" s="38">
        <v>64.950999999999993</v>
      </c>
      <c r="CM9" s="28"/>
      <c r="CN9" s="38">
        <v>560</v>
      </c>
      <c r="CO9" s="38">
        <v>57.387</v>
      </c>
      <c r="CP9" s="28"/>
      <c r="CQ9" s="38">
        <v>398</v>
      </c>
      <c r="CR9" s="38">
        <v>56.320999999999998</v>
      </c>
      <c r="CS9" s="28"/>
      <c r="CT9" s="38">
        <v>639</v>
      </c>
      <c r="CU9" s="38">
        <v>56.033999999999999</v>
      </c>
      <c r="CV9" s="28"/>
      <c r="CW9" s="38">
        <v>727</v>
      </c>
      <c r="CX9" s="38">
        <v>58.384</v>
      </c>
      <c r="CY9" s="28"/>
      <c r="CZ9" s="38">
        <v>865</v>
      </c>
      <c r="DA9" s="38">
        <v>59.918999999999997</v>
      </c>
      <c r="DB9" s="28"/>
      <c r="DC9" s="38">
        <v>771</v>
      </c>
      <c r="DD9" s="38">
        <v>60.579000000000001</v>
      </c>
      <c r="DE9" s="28"/>
      <c r="DF9" s="38">
        <v>654</v>
      </c>
      <c r="DG9" s="38">
        <v>60.521000000000001</v>
      </c>
      <c r="DH9" s="28"/>
      <c r="DI9" s="6">
        <v>698</v>
      </c>
      <c r="DJ9" s="6">
        <v>62.454000000000001</v>
      </c>
      <c r="DK9" s="28"/>
      <c r="DL9" s="6">
        <v>704</v>
      </c>
      <c r="DM9" s="6">
        <v>64.965000000000003</v>
      </c>
      <c r="DN9" s="28"/>
      <c r="DO9" s="6">
        <v>1158</v>
      </c>
      <c r="DP9" s="6">
        <v>65.325999999999993</v>
      </c>
    </row>
    <row r="10" spans="1:120" x14ac:dyDescent="0.35">
      <c r="B10" s="38">
        <f>AC6-$AC$5+$B$9</f>
        <v>701</v>
      </c>
      <c r="C10" s="53">
        <v>55.35</v>
      </c>
      <c r="E10" s="25">
        <v>709</v>
      </c>
      <c r="F10" s="25">
        <v>42.576999999999998</v>
      </c>
      <c r="H10" s="25">
        <v>964</v>
      </c>
      <c r="I10" s="25">
        <v>46.024000000000001</v>
      </c>
      <c r="K10" s="6">
        <v>939</v>
      </c>
      <c r="L10" s="6">
        <v>58.142000000000003</v>
      </c>
      <c r="N10" s="6">
        <v>835</v>
      </c>
      <c r="O10" s="6">
        <v>48.140999999999998</v>
      </c>
      <c r="Q10" s="21">
        <v>1140</v>
      </c>
      <c r="R10" s="25">
        <v>50.71</v>
      </c>
      <c r="T10" s="21">
        <v>1135</v>
      </c>
      <c r="U10" s="25">
        <v>51.704000000000001</v>
      </c>
      <c r="W10" s="21">
        <v>772</v>
      </c>
      <c r="X10" s="25">
        <v>56.481000000000002</v>
      </c>
      <c r="Z10" s="6">
        <v>640</v>
      </c>
      <c r="AA10" s="6">
        <v>47.161000000000001</v>
      </c>
      <c r="AC10" s="53">
        <v>829</v>
      </c>
      <c r="AD10" s="53">
        <v>57.905000000000001</v>
      </c>
      <c r="AI10" s="6">
        <v>1778</v>
      </c>
      <c r="AJ10" s="6">
        <v>51.792999999999999</v>
      </c>
      <c r="AL10" s="6">
        <v>920</v>
      </c>
      <c r="AM10" s="6">
        <v>57.341999999999999</v>
      </c>
      <c r="AN10" s="28"/>
      <c r="AO10" s="38">
        <v>947</v>
      </c>
      <c r="AP10" s="6">
        <v>51.601999999999997</v>
      </c>
      <c r="AQ10" s="28"/>
      <c r="AR10" s="6">
        <v>1001</v>
      </c>
      <c r="AS10" s="6">
        <v>47.569000000000003</v>
      </c>
      <c r="AT10" s="28"/>
      <c r="AU10" s="53">
        <v>661</v>
      </c>
      <c r="AV10" s="53">
        <v>59.972000000000001</v>
      </c>
      <c r="AW10" s="28"/>
      <c r="AX10" s="28"/>
      <c r="AY10" s="28"/>
      <c r="AZ10" s="28"/>
      <c r="BA10" s="53">
        <v>981</v>
      </c>
      <c r="BB10" s="53">
        <v>56.9</v>
      </c>
      <c r="BC10" s="28"/>
      <c r="BD10" s="38">
        <v>1100</v>
      </c>
      <c r="BE10" s="38">
        <v>55.47</v>
      </c>
      <c r="BF10" s="28"/>
      <c r="BG10" s="38">
        <v>885</v>
      </c>
      <c r="BH10" s="38">
        <v>52.094000000000001</v>
      </c>
      <c r="BI10" s="28"/>
      <c r="BJ10" s="38">
        <v>878</v>
      </c>
      <c r="BK10" s="38">
        <v>59.621000000000002</v>
      </c>
      <c r="BL10" s="28"/>
      <c r="BM10" s="52">
        <v>1233</v>
      </c>
      <c r="BN10" s="56">
        <v>57.238999999999997</v>
      </c>
      <c r="BO10" s="28"/>
      <c r="BP10" s="38">
        <v>797</v>
      </c>
      <c r="BQ10" s="38">
        <v>53.924999999999997</v>
      </c>
      <c r="BR10" s="28"/>
      <c r="BS10" s="38">
        <v>940</v>
      </c>
      <c r="BT10" s="38">
        <v>54.03</v>
      </c>
      <c r="BU10" s="28"/>
      <c r="BV10" s="38">
        <v>1058</v>
      </c>
      <c r="BW10" s="38">
        <v>52.981000000000002</v>
      </c>
      <c r="BX10" s="28"/>
      <c r="BY10" s="27">
        <v>1087</v>
      </c>
      <c r="BZ10" s="15">
        <v>48.554000000000002</v>
      </c>
      <c r="CA10" s="28"/>
      <c r="CB10" s="38">
        <v>941</v>
      </c>
      <c r="CC10" s="38">
        <v>59.366999999999997</v>
      </c>
      <c r="CD10" s="28"/>
      <c r="CE10" s="53">
        <v>849</v>
      </c>
      <c r="CF10" s="53">
        <v>55.021999999999998</v>
      </c>
      <c r="CG10" s="28"/>
      <c r="CH10" s="52">
        <v>1373</v>
      </c>
      <c r="CI10" s="53">
        <v>61.246000000000002</v>
      </c>
      <c r="CJ10" s="28"/>
      <c r="CK10" s="38">
        <v>1034</v>
      </c>
      <c r="CL10" s="38">
        <v>65.347999999999999</v>
      </c>
      <c r="CM10" s="28"/>
      <c r="CN10" s="38">
        <v>661</v>
      </c>
      <c r="CO10" s="38">
        <v>54.478999999999999</v>
      </c>
      <c r="CP10" s="28"/>
      <c r="CQ10" s="38">
        <v>497</v>
      </c>
      <c r="CR10" s="38">
        <v>54.686999999999998</v>
      </c>
      <c r="CS10" s="28"/>
      <c r="CT10" s="38">
        <v>854</v>
      </c>
      <c r="CU10" s="38">
        <v>53.503</v>
      </c>
      <c r="CV10" s="28"/>
      <c r="CW10" s="38">
        <v>825</v>
      </c>
      <c r="CX10" s="38">
        <v>59.256999999999998</v>
      </c>
      <c r="CY10" s="28"/>
      <c r="CZ10" s="38">
        <v>970</v>
      </c>
      <c r="DA10" s="38">
        <v>59.505000000000003</v>
      </c>
      <c r="DB10" s="28"/>
      <c r="DC10" s="38">
        <v>1087</v>
      </c>
      <c r="DD10" s="38">
        <v>58.55</v>
      </c>
      <c r="DE10" s="28"/>
      <c r="DF10" s="38">
        <v>754</v>
      </c>
      <c r="DG10" s="38">
        <v>59.276000000000003</v>
      </c>
      <c r="DH10" s="28"/>
      <c r="DI10" s="6">
        <v>826</v>
      </c>
      <c r="DJ10" s="6">
        <v>63.905999999999999</v>
      </c>
      <c r="DK10" s="28"/>
      <c r="DL10" s="6">
        <v>805</v>
      </c>
      <c r="DM10" s="6">
        <v>65.067999999999998</v>
      </c>
      <c r="DN10" s="28"/>
      <c r="DO10" s="6">
        <v>1428</v>
      </c>
      <c r="DP10" s="6">
        <v>64.433999999999997</v>
      </c>
    </row>
    <row r="11" spans="1:120" x14ac:dyDescent="0.35">
      <c r="B11" s="38">
        <f t="shared" ref="B11:B26" si="0">AC7-$AC$5+$B$9</f>
        <v>800</v>
      </c>
      <c r="C11" s="53">
        <v>55.704000000000001</v>
      </c>
      <c r="E11" s="25">
        <v>840</v>
      </c>
      <c r="F11" s="25">
        <v>42.095999999999997</v>
      </c>
      <c r="H11" s="25">
        <v>1080</v>
      </c>
      <c r="I11" s="25">
        <v>47.936999999999998</v>
      </c>
      <c r="K11" s="6">
        <v>1063</v>
      </c>
      <c r="L11" s="6">
        <v>57.643999999999998</v>
      </c>
      <c r="N11" s="6">
        <v>1030</v>
      </c>
      <c r="O11" s="6">
        <v>48.97</v>
      </c>
      <c r="Q11" s="21">
        <v>1243</v>
      </c>
      <c r="R11" s="25">
        <v>50.643000000000001</v>
      </c>
      <c r="T11" s="21">
        <v>1232</v>
      </c>
      <c r="U11" s="25">
        <v>51.844000000000001</v>
      </c>
      <c r="W11" s="21">
        <v>883</v>
      </c>
      <c r="X11" s="25">
        <v>57.256</v>
      </c>
      <c r="Z11" s="6">
        <v>743</v>
      </c>
      <c r="AA11" s="6">
        <v>49.08</v>
      </c>
      <c r="AC11" s="53">
        <v>953</v>
      </c>
      <c r="AD11" s="53">
        <v>57.904000000000003</v>
      </c>
      <c r="AI11" s="6">
        <v>1910</v>
      </c>
      <c r="AJ11" s="6">
        <v>53.817999999999998</v>
      </c>
      <c r="AL11" s="6">
        <v>1162</v>
      </c>
      <c r="AM11" s="6">
        <v>56.561999999999998</v>
      </c>
      <c r="AN11" s="28"/>
      <c r="AO11" s="38">
        <v>1065</v>
      </c>
      <c r="AP11" s="6">
        <v>48.451000000000001</v>
      </c>
      <c r="AQ11" s="19" t="s">
        <v>111</v>
      </c>
      <c r="AR11" s="9">
        <v>1165</v>
      </c>
      <c r="AS11" s="9">
        <v>46.273000000000003</v>
      </c>
      <c r="AT11" s="28"/>
      <c r="AU11" s="53">
        <v>791</v>
      </c>
      <c r="AV11" s="53">
        <v>59.447000000000003</v>
      </c>
      <c r="AW11" s="28"/>
      <c r="AX11" s="28"/>
      <c r="AY11" s="28"/>
      <c r="AZ11" s="13" t="s">
        <v>54</v>
      </c>
      <c r="BA11" s="15">
        <v>1421</v>
      </c>
      <c r="BB11" s="15">
        <v>55.89</v>
      </c>
      <c r="BC11" s="28"/>
      <c r="BD11" s="38">
        <v>1563</v>
      </c>
      <c r="BE11" s="38">
        <v>48.231000000000002</v>
      </c>
      <c r="BF11" s="28"/>
      <c r="BG11" s="38">
        <v>1017</v>
      </c>
      <c r="BH11" s="38">
        <v>52.343000000000004</v>
      </c>
      <c r="BI11" s="28"/>
      <c r="BJ11" s="38">
        <v>1009</v>
      </c>
      <c r="BK11" s="38">
        <v>58.976999999999997</v>
      </c>
      <c r="BL11" s="28"/>
      <c r="BM11" s="52">
        <v>1332</v>
      </c>
      <c r="BN11" s="56">
        <v>57.569000000000003</v>
      </c>
      <c r="BO11" s="28"/>
      <c r="BP11" s="38">
        <v>1018</v>
      </c>
      <c r="BQ11" s="38">
        <v>56.716999999999999</v>
      </c>
      <c r="BR11" s="28"/>
      <c r="BS11" s="38">
        <v>1165</v>
      </c>
      <c r="BT11" s="38">
        <v>54.143999999999998</v>
      </c>
      <c r="BU11" s="28"/>
      <c r="BV11" s="38">
        <v>1168</v>
      </c>
      <c r="BW11" s="38">
        <v>51.997</v>
      </c>
      <c r="BX11" s="28"/>
      <c r="BY11" s="52">
        <v>1194</v>
      </c>
      <c r="BZ11" s="53">
        <v>52.655000000000001</v>
      </c>
      <c r="CA11" s="28"/>
      <c r="CB11" s="38">
        <v>1081</v>
      </c>
      <c r="CC11" s="38">
        <v>59.664999999999999</v>
      </c>
      <c r="CD11" s="28"/>
      <c r="CE11" s="53">
        <v>949</v>
      </c>
      <c r="CF11" s="53">
        <v>53.523000000000003</v>
      </c>
      <c r="CG11" s="28"/>
      <c r="CH11" s="52">
        <v>1495</v>
      </c>
      <c r="CI11" s="53">
        <v>61.031999999999996</v>
      </c>
      <c r="CJ11" s="28"/>
      <c r="CK11" s="38">
        <v>1152</v>
      </c>
      <c r="CL11" s="38">
        <v>63.802999999999997</v>
      </c>
      <c r="CM11" s="28"/>
      <c r="CN11" s="38">
        <v>759</v>
      </c>
      <c r="CO11" s="38">
        <v>57.46</v>
      </c>
      <c r="CP11" s="13" t="s">
        <v>123</v>
      </c>
      <c r="CQ11" s="15">
        <v>587</v>
      </c>
      <c r="CR11" s="15">
        <v>51.16</v>
      </c>
      <c r="CS11" s="28"/>
      <c r="CT11" s="38">
        <v>1062</v>
      </c>
      <c r="CU11" s="38">
        <v>55.276000000000003</v>
      </c>
      <c r="CV11" s="28"/>
      <c r="CW11" s="38">
        <v>958</v>
      </c>
      <c r="CX11" s="38">
        <v>58.738</v>
      </c>
      <c r="CY11" s="28"/>
      <c r="CZ11" s="38">
        <v>1159</v>
      </c>
      <c r="DA11" s="38">
        <v>59.87</v>
      </c>
      <c r="DB11" s="28"/>
      <c r="DC11" s="38">
        <v>1349</v>
      </c>
      <c r="DD11" s="38">
        <v>56.777999999999999</v>
      </c>
      <c r="DE11" s="28"/>
      <c r="DF11" s="38">
        <v>864</v>
      </c>
      <c r="DG11" s="38">
        <v>60.652000000000001</v>
      </c>
      <c r="DH11" s="28"/>
      <c r="DI11" s="6">
        <v>930</v>
      </c>
      <c r="DJ11" s="6">
        <v>61.332000000000001</v>
      </c>
      <c r="DK11" s="28"/>
      <c r="DL11" s="6">
        <v>908</v>
      </c>
      <c r="DM11" s="6">
        <v>65.528999999999996</v>
      </c>
      <c r="DN11" s="28"/>
      <c r="DO11" s="6">
        <v>1535</v>
      </c>
      <c r="DP11" s="6">
        <v>63.787999999999997</v>
      </c>
    </row>
    <row r="12" spans="1:120" x14ac:dyDescent="0.35">
      <c r="B12" s="38">
        <f t="shared" si="0"/>
        <v>986</v>
      </c>
      <c r="C12" s="53">
        <v>57.472999999999999</v>
      </c>
      <c r="E12" s="25">
        <v>975</v>
      </c>
      <c r="F12" s="25">
        <v>43.216000000000001</v>
      </c>
      <c r="H12" s="25">
        <v>1216</v>
      </c>
      <c r="I12" s="25">
        <v>50.005000000000003</v>
      </c>
      <c r="K12" s="6">
        <v>1271</v>
      </c>
      <c r="L12" s="6">
        <v>57.128</v>
      </c>
      <c r="N12" s="6">
        <v>1234</v>
      </c>
      <c r="O12" s="6">
        <v>51.316000000000003</v>
      </c>
      <c r="Q12" s="21">
        <v>1419</v>
      </c>
      <c r="R12" s="25">
        <v>49.058</v>
      </c>
      <c r="T12" s="21">
        <v>1336</v>
      </c>
      <c r="U12" s="25">
        <v>53.768000000000001</v>
      </c>
      <c r="W12" s="21">
        <v>1250</v>
      </c>
      <c r="X12" s="25">
        <v>54.319000000000003</v>
      </c>
      <c r="Z12" s="6">
        <v>855</v>
      </c>
      <c r="AA12" s="6">
        <v>48.533000000000001</v>
      </c>
      <c r="AC12" s="53">
        <v>1046</v>
      </c>
      <c r="AD12" s="53">
        <v>58.72</v>
      </c>
      <c r="AI12" s="6">
        <v>2111</v>
      </c>
      <c r="AJ12" s="6">
        <v>55.569000000000003</v>
      </c>
      <c r="AL12" s="6">
        <v>1258</v>
      </c>
      <c r="AM12" s="6">
        <v>56.844999999999999</v>
      </c>
      <c r="AN12" s="28"/>
      <c r="AO12" s="38">
        <v>1166</v>
      </c>
      <c r="AP12" s="6">
        <v>48.106999999999999</v>
      </c>
      <c r="AQ12" s="28"/>
      <c r="AR12" s="6">
        <v>1312</v>
      </c>
      <c r="AS12" s="6">
        <v>52.274999999999999</v>
      </c>
      <c r="AT12" s="28"/>
      <c r="AU12" s="53">
        <v>999</v>
      </c>
      <c r="AV12" s="53">
        <v>58.927999999999997</v>
      </c>
      <c r="AW12" s="28"/>
      <c r="AX12" s="28"/>
      <c r="AY12" s="28"/>
      <c r="AZ12" s="28"/>
      <c r="BA12" s="28"/>
      <c r="BB12" s="28"/>
      <c r="BC12" s="28"/>
      <c r="BD12" s="38">
        <v>1737</v>
      </c>
      <c r="BE12" s="38">
        <v>51.792999999999999</v>
      </c>
      <c r="BF12" s="28"/>
      <c r="BG12" s="38">
        <v>1125</v>
      </c>
      <c r="BH12" s="38">
        <v>52.243000000000002</v>
      </c>
      <c r="BI12" s="28"/>
      <c r="BJ12" s="38">
        <v>1260</v>
      </c>
      <c r="BK12" s="38">
        <v>58.628999999999998</v>
      </c>
      <c r="BL12" s="28"/>
      <c r="BM12" s="52">
        <v>1474</v>
      </c>
      <c r="BN12" s="56">
        <v>58.326000000000001</v>
      </c>
      <c r="BO12" s="28"/>
      <c r="BP12" s="38">
        <v>1227</v>
      </c>
      <c r="BQ12" s="38">
        <v>55.148000000000003</v>
      </c>
      <c r="BR12" s="28"/>
      <c r="BS12" s="38">
        <v>1278</v>
      </c>
      <c r="BT12" s="38">
        <v>54.322000000000003</v>
      </c>
      <c r="BU12" s="28"/>
      <c r="BV12" s="38">
        <v>1259</v>
      </c>
      <c r="BW12" s="38">
        <v>51.204000000000001</v>
      </c>
      <c r="BX12" s="28"/>
      <c r="BY12" s="52">
        <v>1442</v>
      </c>
      <c r="BZ12" s="53">
        <v>53.47</v>
      </c>
      <c r="CA12" s="28"/>
      <c r="CB12" s="38">
        <v>1236</v>
      </c>
      <c r="CC12" s="38">
        <v>59.677999999999997</v>
      </c>
      <c r="CD12" s="28"/>
      <c r="CE12" s="53">
        <v>1042</v>
      </c>
      <c r="CF12" s="53">
        <v>53.457000000000001</v>
      </c>
      <c r="CG12" s="28"/>
      <c r="CH12" s="52">
        <v>1622</v>
      </c>
      <c r="CI12" s="53">
        <v>59.868000000000002</v>
      </c>
      <c r="CJ12" s="28"/>
      <c r="CK12" s="38">
        <v>1247</v>
      </c>
      <c r="CL12" s="38">
        <v>64.034999999999997</v>
      </c>
      <c r="CM12" s="28"/>
      <c r="CN12" s="38">
        <v>872</v>
      </c>
      <c r="CO12" s="38">
        <v>57.594999999999999</v>
      </c>
      <c r="CP12" s="28"/>
      <c r="CQ12" s="38">
        <v>742</v>
      </c>
      <c r="CR12" s="38">
        <v>57.468000000000004</v>
      </c>
      <c r="CS12" s="28"/>
      <c r="CT12" s="38">
        <v>1141</v>
      </c>
      <c r="CU12" s="38">
        <v>54.646000000000001</v>
      </c>
      <c r="CV12" s="28"/>
      <c r="CW12" s="38">
        <v>1079</v>
      </c>
      <c r="CX12" s="38">
        <v>58</v>
      </c>
      <c r="CY12" s="28"/>
      <c r="CZ12" s="38">
        <v>1317</v>
      </c>
      <c r="DA12" s="38">
        <v>60.579000000000001</v>
      </c>
      <c r="DB12" s="28"/>
      <c r="DC12" s="38">
        <v>1452</v>
      </c>
      <c r="DD12" s="38">
        <v>56.095999999999997</v>
      </c>
      <c r="DE12" s="28"/>
      <c r="DF12" s="38">
        <v>1062</v>
      </c>
      <c r="DG12" s="38">
        <v>56.936</v>
      </c>
      <c r="DH12" s="28"/>
      <c r="DI12" s="6">
        <v>1308</v>
      </c>
      <c r="DJ12" s="6">
        <v>62.481000000000002</v>
      </c>
      <c r="DK12" s="28"/>
      <c r="DL12" s="6">
        <v>1094</v>
      </c>
      <c r="DM12" s="6">
        <v>66.289000000000001</v>
      </c>
      <c r="DN12" s="28"/>
      <c r="DO12" s="6">
        <v>1649</v>
      </c>
      <c r="DP12" s="6">
        <v>63.686999999999998</v>
      </c>
    </row>
    <row r="13" spans="1:120" x14ac:dyDescent="0.35">
      <c r="B13" s="38">
        <f t="shared" si="0"/>
        <v>1120</v>
      </c>
      <c r="C13" s="53">
        <v>57.890999999999998</v>
      </c>
      <c r="E13" s="25">
        <v>1081</v>
      </c>
      <c r="F13" s="25">
        <v>47.493000000000002</v>
      </c>
      <c r="H13" s="25">
        <v>1333</v>
      </c>
      <c r="I13" s="25">
        <v>51.207999999999998</v>
      </c>
      <c r="K13" s="6">
        <v>1349</v>
      </c>
      <c r="L13" s="6">
        <v>50.012</v>
      </c>
      <c r="N13" s="6">
        <v>1344</v>
      </c>
      <c r="O13" s="6">
        <v>52.957000000000001</v>
      </c>
      <c r="Q13" s="21">
        <v>1527</v>
      </c>
      <c r="R13" s="25">
        <v>48.759</v>
      </c>
      <c r="T13" s="21">
        <v>1423</v>
      </c>
      <c r="U13" s="25">
        <v>56.27</v>
      </c>
      <c r="W13" s="21">
        <v>1498</v>
      </c>
      <c r="X13" s="25">
        <v>54.966000000000001</v>
      </c>
      <c r="Z13" s="6">
        <v>964</v>
      </c>
      <c r="AA13" s="6">
        <v>49.000999999999998</v>
      </c>
      <c r="AC13" s="53">
        <v>1140</v>
      </c>
      <c r="AD13" s="53">
        <v>58.384999999999998</v>
      </c>
      <c r="AI13" s="6">
        <v>2210</v>
      </c>
      <c r="AJ13" s="6">
        <v>56.9</v>
      </c>
      <c r="AL13" s="6">
        <v>1390</v>
      </c>
      <c r="AM13" s="6">
        <v>56.411999999999999</v>
      </c>
      <c r="AN13" s="28"/>
      <c r="AO13" s="38">
        <v>1360</v>
      </c>
      <c r="AP13" s="6">
        <v>52.082999999999998</v>
      </c>
      <c r="AQ13" s="28"/>
      <c r="AR13" s="6">
        <v>1591</v>
      </c>
      <c r="AS13" s="6">
        <v>50.942</v>
      </c>
      <c r="AT13" s="28"/>
      <c r="AU13" s="53">
        <v>1157</v>
      </c>
      <c r="AV13" s="53">
        <v>57.993000000000002</v>
      </c>
      <c r="AW13" s="28"/>
      <c r="AX13" s="28"/>
      <c r="AY13" s="28"/>
      <c r="AZ13" s="28"/>
      <c r="BA13" s="28"/>
      <c r="BB13" s="28"/>
      <c r="BC13" s="28"/>
      <c r="BD13" s="38">
        <v>1916</v>
      </c>
      <c r="BE13" s="38">
        <v>46.924999999999997</v>
      </c>
      <c r="BF13" s="28"/>
      <c r="BG13" s="38">
        <v>1230</v>
      </c>
      <c r="BH13" s="38">
        <v>53.284999999999997</v>
      </c>
      <c r="BI13" s="28"/>
      <c r="BJ13" s="38">
        <v>1379</v>
      </c>
      <c r="BK13" s="38">
        <v>57.412999999999997</v>
      </c>
      <c r="BL13" s="28"/>
      <c r="BM13" s="52">
        <v>1610</v>
      </c>
      <c r="BN13" s="56">
        <v>55.542000000000002</v>
      </c>
      <c r="BO13" s="28"/>
      <c r="BP13" s="38">
        <v>1329</v>
      </c>
      <c r="BQ13" s="38">
        <v>56.326000000000001</v>
      </c>
      <c r="BR13" s="28"/>
      <c r="BS13" s="38">
        <v>1380</v>
      </c>
      <c r="BT13" s="38">
        <v>54.826000000000001</v>
      </c>
      <c r="BU13" s="19" t="s">
        <v>54</v>
      </c>
      <c r="BV13" s="9">
        <v>1328</v>
      </c>
      <c r="BW13" s="9">
        <v>48.613</v>
      </c>
      <c r="BX13" s="28"/>
      <c r="BY13" s="52">
        <v>1496</v>
      </c>
      <c r="BZ13" s="53">
        <v>53.627000000000002</v>
      </c>
      <c r="CA13" s="28"/>
      <c r="CB13" s="38">
        <v>1478</v>
      </c>
      <c r="CC13" s="38">
        <v>60.871000000000002</v>
      </c>
      <c r="CD13" s="28"/>
      <c r="CE13" s="53">
        <v>1146</v>
      </c>
      <c r="CF13" s="53">
        <v>55.027000000000001</v>
      </c>
      <c r="CG13" s="28"/>
      <c r="CH13" s="52">
        <v>1744</v>
      </c>
      <c r="CI13" s="53">
        <v>60.296999999999997</v>
      </c>
      <c r="CJ13" s="28"/>
      <c r="CK13" s="38">
        <v>1367</v>
      </c>
      <c r="CL13" s="38">
        <v>63.825000000000003</v>
      </c>
      <c r="CM13" s="28"/>
      <c r="CN13" s="38">
        <v>1005</v>
      </c>
      <c r="CO13" s="38">
        <v>58.078000000000003</v>
      </c>
      <c r="CP13" s="28"/>
      <c r="CQ13" s="38">
        <v>875</v>
      </c>
      <c r="CR13" s="38">
        <v>54.432000000000002</v>
      </c>
      <c r="CS13" s="28"/>
      <c r="CT13" s="38">
        <v>1265</v>
      </c>
      <c r="CU13" s="38">
        <v>56.710999999999999</v>
      </c>
      <c r="CV13" s="28"/>
      <c r="CW13" s="38">
        <v>1192</v>
      </c>
      <c r="CX13" s="38">
        <v>58.174999999999997</v>
      </c>
      <c r="CY13" s="28"/>
      <c r="CZ13" s="38">
        <v>1535</v>
      </c>
      <c r="DA13" s="38">
        <v>59.878</v>
      </c>
      <c r="DB13" s="28"/>
      <c r="DC13" s="38">
        <v>1519</v>
      </c>
      <c r="DD13" s="38">
        <v>54.706000000000003</v>
      </c>
      <c r="DE13" s="28"/>
      <c r="DF13" s="38">
        <v>1193</v>
      </c>
      <c r="DG13" s="38">
        <v>59.465000000000003</v>
      </c>
      <c r="DH13" s="28"/>
      <c r="DI13" s="6">
        <v>1436</v>
      </c>
      <c r="DJ13" s="6">
        <v>61.905999999999999</v>
      </c>
      <c r="DK13" s="28"/>
      <c r="DL13" s="6">
        <v>1201</v>
      </c>
      <c r="DM13" s="6">
        <v>66.346999999999994</v>
      </c>
      <c r="DN13" s="28"/>
      <c r="DO13" s="6">
        <v>1775</v>
      </c>
      <c r="DP13" s="6">
        <v>64.53</v>
      </c>
    </row>
    <row r="14" spans="1:120" x14ac:dyDescent="0.35">
      <c r="B14" s="38">
        <f t="shared" si="0"/>
        <v>1225</v>
      </c>
      <c r="C14" s="53">
        <v>57.905000000000001</v>
      </c>
      <c r="E14" s="25">
        <v>1213</v>
      </c>
      <c r="F14" s="25">
        <v>50.113999999999997</v>
      </c>
      <c r="H14" s="25">
        <v>1561</v>
      </c>
      <c r="I14" s="25">
        <v>49.222999999999999</v>
      </c>
      <c r="K14" s="6">
        <v>1462</v>
      </c>
      <c r="L14" s="6">
        <v>54.8</v>
      </c>
      <c r="N14" s="6">
        <v>1555</v>
      </c>
      <c r="O14" s="6">
        <v>58.112000000000002</v>
      </c>
      <c r="Q14" s="21">
        <v>1642</v>
      </c>
      <c r="R14" s="25">
        <v>48.140999999999998</v>
      </c>
      <c r="S14" s="19" t="s">
        <v>54</v>
      </c>
      <c r="T14" s="31">
        <v>1470</v>
      </c>
      <c r="U14" s="9">
        <v>55.95</v>
      </c>
      <c r="W14" s="21">
        <v>1607</v>
      </c>
      <c r="X14" s="25">
        <v>55.9</v>
      </c>
      <c r="Z14" s="6">
        <v>1070</v>
      </c>
      <c r="AA14" s="6">
        <v>51.34</v>
      </c>
      <c r="AC14" s="53">
        <v>1273</v>
      </c>
      <c r="AD14" s="53">
        <v>58.591999999999999</v>
      </c>
      <c r="AI14" s="6">
        <v>2596</v>
      </c>
      <c r="AJ14" s="6">
        <v>57.26</v>
      </c>
      <c r="AK14" s="19" t="s">
        <v>54</v>
      </c>
      <c r="AL14" s="9">
        <v>1539</v>
      </c>
      <c r="AM14" s="9">
        <v>55.89</v>
      </c>
      <c r="AN14" s="28"/>
      <c r="AO14" s="38">
        <v>1707</v>
      </c>
      <c r="AP14" s="6">
        <v>53.277999999999999</v>
      </c>
      <c r="AQ14" s="28"/>
      <c r="AR14" s="6">
        <v>1688</v>
      </c>
      <c r="AS14" s="6">
        <v>51.012999999999998</v>
      </c>
      <c r="AT14" s="28"/>
      <c r="AU14" s="53">
        <v>1249</v>
      </c>
      <c r="AV14" s="53">
        <v>58.816000000000003</v>
      </c>
      <c r="AW14" s="28"/>
      <c r="AX14" s="28"/>
      <c r="AY14" s="28"/>
      <c r="AZ14" s="28"/>
      <c r="BA14" s="28"/>
      <c r="BB14" s="28"/>
      <c r="BC14" s="28"/>
      <c r="BD14" s="38">
        <v>2030</v>
      </c>
      <c r="BE14" s="38">
        <v>54.133000000000003</v>
      </c>
      <c r="BF14" s="28"/>
      <c r="BG14" s="38">
        <v>1450</v>
      </c>
      <c r="BH14" s="38">
        <v>53.8</v>
      </c>
      <c r="BI14" s="28"/>
      <c r="BJ14" s="38">
        <v>1499</v>
      </c>
      <c r="BK14" s="38">
        <v>55.540999999999997</v>
      </c>
      <c r="BL14" s="28"/>
      <c r="BM14" s="52">
        <v>1712</v>
      </c>
      <c r="BN14" s="56">
        <v>56.765000000000001</v>
      </c>
      <c r="BO14" s="28"/>
      <c r="BP14" s="38">
        <v>1430</v>
      </c>
      <c r="BQ14" s="38">
        <v>57.335999999999999</v>
      </c>
      <c r="BR14" s="28"/>
      <c r="BS14" s="38">
        <v>1475</v>
      </c>
      <c r="BT14" s="38">
        <v>53.982999999999997</v>
      </c>
      <c r="BU14" s="28"/>
      <c r="BV14" s="38">
        <v>1481</v>
      </c>
      <c r="BW14" s="38">
        <v>52.784999999999997</v>
      </c>
      <c r="BX14" s="28"/>
      <c r="BY14" s="52">
        <v>1602</v>
      </c>
      <c r="BZ14" s="53">
        <v>53.741</v>
      </c>
      <c r="CA14" s="28"/>
      <c r="CB14" s="38">
        <v>1757</v>
      </c>
      <c r="CC14" s="38">
        <v>60.610999999999997</v>
      </c>
      <c r="CD14" s="28"/>
      <c r="CE14" s="53">
        <v>1250</v>
      </c>
      <c r="CF14" s="53">
        <v>57.305</v>
      </c>
      <c r="CG14" s="28"/>
      <c r="CH14" s="52">
        <v>1850</v>
      </c>
      <c r="CI14" s="53">
        <v>59.710999999999999</v>
      </c>
      <c r="CJ14" s="28"/>
      <c r="CK14" s="38">
        <v>1462</v>
      </c>
      <c r="CL14" s="38">
        <v>63.968000000000004</v>
      </c>
      <c r="CM14" s="28"/>
      <c r="CN14" s="38">
        <v>1143</v>
      </c>
      <c r="CO14" s="38">
        <v>57.122999999999998</v>
      </c>
      <c r="CP14" s="13" t="s">
        <v>119</v>
      </c>
      <c r="CQ14" s="15">
        <v>917</v>
      </c>
      <c r="CR14" s="15">
        <v>53.848999999999997</v>
      </c>
      <c r="CS14" s="28"/>
      <c r="CT14" s="38">
        <v>1364</v>
      </c>
      <c r="CU14" s="38">
        <v>56.667999999999999</v>
      </c>
      <c r="CV14" s="28"/>
      <c r="CW14" s="38">
        <v>1303</v>
      </c>
      <c r="CX14" s="38">
        <v>58.542000000000002</v>
      </c>
      <c r="CY14" s="28"/>
      <c r="CZ14" s="38">
        <v>1630</v>
      </c>
      <c r="DA14" s="38">
        <v>58.55</v>
      </c>
      <c r="DB14" s="28"/>
      <c r="DC14" s="38">
        <v>1694</v>
      </c>
      <c r="DD14" s="38">
        <v>52.826999999999998</v>
      </c>
      <c r="DE14" s="28"/>
      <c r="DF14" s="38">
        <v>1392</v>
      </c>
      <c r="DG14" s="38">
        <v>57.942</v>
      </c>
      <c r="DH14" s="28"/>
      <c r="DI14" s="6">
        <v>1548</v>
      </c>
      <c r="DJ14" s="6">
        <v>58.145000000000003</v>
      </c>
      <c r="DK14" s="28"/>
      <c r="DL14" s="6">
        <v>1420</v>
      </c>
      <c r="DM14" s="6">
        <v>67.760999999999996</v>
      </c>
      <c r="DN14" s="28"/>
      <c r="DO14" s="6">
        <v>1894</v>
      </c>
      <c r="DP14" s="6">
        <v>62.113999999999997</v>
      </c>
    </row>
    <row r="15" spans="1:120" x14ac:dyDescent="0.35">
      <c r="B15" s="38">
        <f t="shared" si="0"/>
        <v>1349</v>
      </c>
      <c r="C15" s="53">
        <v>57.904000000000003</v>
      </c>
      <c r="E15" s="25">
        <v>1486</v>
      </c>
      <c r="F15" s="25">
        <v>51.326999999999998</v>
      </c>
      <c r="H15" s="25">
        <v>1705</v>
      </c>
      <c r="I15" s="25">
        <v>48.941000000000003</v>
      </c>
      <c r="K15" s="6">
        <v>1607</v>
      </c>
      <c r="L15" s="6">
        <v>54.319000000000003</v>
      </c>
      <c r="N15" s="6">
        <v>1599</v>
      </c>
      <c r="O15" s="6">
        <v>57.085999999999999</v>
      </c>
      <c r="Q15" s="21">
        <v>1838</v>
      </c>
      <c r="R15" s="25">
        <v>48.97</v>
      </c>
      <c r="V15" s="13" t="s">
        <v>54</v>
      </c>
      <c r="W15" s="27">
        <v>2000</v>
      </c>
      <c r="X15" s="15">
        <v>56.11</v>
      </c>
      <c r="Z15" s="6">
        <v>1185</v>
      </c>
      <c r="AA15" s="6">
        <v>51.466999999999999</v>
      </c>
      <c r="AC15" s="53">
        <v>1366</v>
      </c>
      <c r="AD15" s="53">
        <v>57.457000000000001</v>
      </c>
      <c r="AH15" s="13" t="s">
        <v>54</v>
      </c>
      <c r="AI15" s="15">
        <v>2637</v>
      </c>
      <c r="AJ15" s="15">
        <v>55.89</v>
      </c>
      <c r="AN15" s="28"/>
      <c r="AO15" s="38">
        <v>1768</v>
      </c>
      <c r="AP15" s="6">
        <v>54.015999999999998</v>
      </c>
      <c r="AQ15" s="28"/>
      <c r="AR15" s="6">
        <v>1788</v>
      </c>
      <c r="AS15" s="6">
        <v>52.438000000000002</v>
      </c>
      <c r="AT15" s="28"/>
      <c r="AU15" s="53">
        <v>1360</v>
      </c>
      <c r="AV15" s="53">
        <v>56.680999999999997</v>
      </c>
      <c r="AW15" s="28"/>
      <c r="AX15" s="28"/>
      <c r="AY15" s="28"/>
      <c r="AZ15" s="28"/>
      <c r="BA15" s="28"/>
      <c r="BB15" s="28"/>
      <c r="BC15" s="28"/>
      <c r="BD15" s="38">
        <v>2098</v>
      </c>
      <c r="BE15" s="38">
        <v>55.984000000000002</v>
      </c>
      <c r="BF15" s="28"/>
      <c r="BG15" s="38">
        <v>1665</v>
      </c>
      <c r="BH15" s="38">
        <v>52.551000000000002</v>
      </c>
      <c r="BI15" s="28"/>
      <c r="BJ15" s="38">
        <v>1602</v>
      </c>
      <c r="BK15" s="38">
        <v>56.901000000000003</v>
      </c>
      <c r="BL15" s="28"/>
      <c r="BM15" s="52">
        <v>1813</v>
      </c>
      <c r="BN15" s="56">
        <v>56.045000000000002</v>
      </c>
      <c r="BO15" s="28"/>
      <c r="BP15" s="38">
        <v>1519</v>
      </c>
      <c r="BQ15" s="38">
        <v>53.881</v>
      </c>
      <c r="BR15" s="28"/>
      <c r="BS15" s="38">
        <v>1568</v>
      </c>
      <c r="BT15" s="38">
        <v>52.048000000000002</v>
      </c>
      <c r="BU15" s="28"/>
      <c r="BV15" s="38">
        <v>1581</v>
      </c>
      <c r="BW15" s="38">
        <v>53.470999999999997</v>
      </c>
      <c r="BX15" s="28"/>
      <c r="BY15" s="52">
        <v>1737</v>
      </c>
      <c r="BZ15" s="53">
        <v>54.968000000000004</v>
      </c>
      <c r="CA15" s="28"/>
      <c r="CB15" s="38">
        <v>1822</v>
      </c>
      <c r="CC15" s="38">
        <v>60.279000000000003</v>
      </c>
      <c r="CD15" s="28"/>
      <c r="CE15" s="53">
        <v>1356</v>
      </c>
      <c r="CF15" s="53">
        <v>55.917999999999999</v>
      </c>
      <c r="CG15" s="28"/>
      <c r="CH15" s="52">
        <v>1977</v>
      </c>
      <c r="CI15" s="53">
        <v>58.874000000000002</v>
      </c>
      <c r="CJ15" s="28"/>
      <c r="CK15" s="38">
        <v>1642</v>
      </c>
      <c r="CL15" s="38">
        <v>65.614000000000004</v>
      </c>
      <c r="CM15" s="28"/>
      <c r="CN15" s="38">
        <v>1388</v>
      </c>
      <c r="CO15" s="38">
        <v>59.203000000000003</v>
      </c>
      <c r="CP15" s="28"/>
      <c r="CQ15" s="15">
        <v>931</v>
      </c>
      <c r="CR15" s="15">
        <v>51.637</v>
      </c>
      <c r="CS15" s="28"/>
      <c r="CT15" s="38">
        <v>1486</v>
      </c>
      <c r="CU15" s="38">
        <v>52.957999999999998</v>
      </c>
      <c r="CV15" s="28"/>
      <c r="CW15" s="38">
        <v>1538</v>
      </c>
      <c r="CX15" s="38">
        <v>55.45</v>
      </c>
      <c r="CY15" s="28"/>
      <c r="CZ15" s="38">
        <v>1830</v>
      </c>
      <c r="DA15" s="38">
        <v>58.567</v>
      </c>
      <c r="DB15" s="13" t="s">
        <v>121</v>
      </c>
      <c r="DC15" s="15">
        <v>1763</v>
      </c>
      <c r="DD15" s="15">
        <v>50.116999999999997</v>
      </c>
      <c r="DE15" s="28"/>
      <c r="DF15" s="38">
        <v>1514</v>
      </c>
      <c r="DG15" s="38">
        <v>60.472999999999999</v>
      </c>
      <c r="DH15" s="28"/>
      <c r="DI15" s="6">
        <v>1653</v>
      </c>
      <c r="DJ15" s="6">
        <v>59.862000000000002</v>
      </c>
      <c r="DK15" s="28"/>
      <c r="DL15" s="6">
        <v>1629</v>
      </c>
      <c r="DM15" s="6">
        <v>57.531999999999996</v>
      </c>
      <c r="DN15" s="28"/>
      <c r="DO15" s="6">
        <v>1994</v>
      </c>
      <c r="DP15" s="6">
        <v>60.780999999999999</v>
      </c>
    </row>
    <row r="16" spans="1:120" x14ac:dyDescent="0.35">
      <c r="B16" s="38">
        <f t="shared" si="0"/>
        <v>1442</v>
      </c>
      <c r="C16" s="53">
        <v>58.72</v>
      </c>
      <c r="E16" s="25">
        <v>1585</v>
      </c>
      <c r="F16" s="25">
        <v>51.817999999999998</v>
      </c>
      <c r="H16" s="25">
        <v>1812</v>
      </c>
      <c r="I16" s="25">
        <v>48.188000000000002</v>
      </c>
      <c r="K16" s="6">
        <v>1911</v>
      </c>
      <c r="L16" s="6">
        <v>54.97</v>
      </c>
      <c r="N16" s="6">
        <v>1827</v>
      </c>
      <c r="O16" s="6">
        <v>58.142000000000003</v>
      </c>
      <c r="Q16" s="21">
        <v>2040</v>
      </c>
      <c r="R16" s="25">
        <v>51.316000000000003</v>
      </c>
      <c r="Z16" s="6">
        <v>1312</v>
      </c>
      <c r="AA16" s="6">
        <v>53.219000000000001</v>
      </c>
      <c r="AC16" s="53">
        <v>1501</v>
      </c>
      <c r="AD16" s="53">
        <v>57.905999999999999</v>
      </c>
      <c r="AJ16" s="28"/>
      <c r="AK16" s="28"/>
      <c r="AL16" s="28"/>
      <c r="AM16" s="28"/>
      <c r="AN16" s="28"/>
      <c r="AO16" s="38">
        <v>1933</v>
      </c>
      <c r="AP16" s="6">
        <v>56.081000000000003</v>
      </c>
      <c r="AQ16" s="28"/>
      <c r="AR16" s="6">
        <v>1915</v>
      </c>
      <c r="AS16" s="6">
        <v>49.192</v>
      </c>
      <c r="AT16" s="28"/>
      <c r="AU16" s="53">
        <v>1458</v>
      </c>
      <c r="AV16" s="53">
        <v>55.712000000000003</v>
      </c>
      <c r="AW16" s="28"/>
      <c r="AX16" s="28"/>
      <c r="AY16" s="28"/>
      <c r="AZ16" s="28"/>
      <c r="BA16" s="28"/>
      <c r="BB16" s="28"/>
      <c r="BC16" s="19" t="s">
        <v>54</v>
      </c>
      <c r="BD16" s="9">
        <v>2602</v>
      </c>
      <c r="BE16" s="9">
        <v>55.89</v>
      </c>
      <c r="BF16" s="28"/>
      <c r="BG16" s="38">
        <v>1757</v>
      </c>
      <c r="BH16" s="38">
        <v>53.188000000000002</v>
      </c>
      <c r="BI16" s="28"/>
      <c r="BJ16" s="38">
        <v>1725</v>
      </c>
      <c r="BK16" s="38">
        <v>54.643999999999998</v>
      </c>
      <c r="BL16" s="28"/>
      <c r="BM16" s="52">
        <v>2016</v>
      </c>
      <c r="BN16" s="56">
        <v>53.817999999999998</v>
      </c>
      <c r="BO16" s="28"/>
      <c r="BP16" s="38">
        <v>1639</v>
      </c>
      <c r="BQ16" s="38">
        <v>56.725000000000001</v>
      </c>
      <c r="BR16" s="28"/>
      <c r="BS16" s="38">
        <v>1668</v>
      </c>
      <c r="BT16" s="38">
        <v>52.890999999999998</v>
      </c>
      <c r="BU16" s="28"/>
      <c r="BV16" s="38">
        <v>1716</v>
      </c>
      <c r="BW16" s="38">
        <v>53.43</v>
      </c>
      <c r="BX16" s="28"/>
      <c r="BY16" s="52">
        <v>1834</v>
      </c>
      <c r="BZ16" s="53">
        <v>54.195</v>
      </c>
      <c r="CA16" s="28"/>
      <c r="CB16" s="38">
        <v>2076</v>
      </c>
      <c r="CC16" s="38">
        <v>61.42</v>
      </c>
      <c r="CD16" s="28"/>
      <c r="CE16" s="53">
        <v>1461</v>
      </c>
      <c r="CF16" s="53">
        <v>56.226999999999997</v>
      </c>
      <c r="CG16" s="28"/>
      <c r="CH16" s="52">
        <v>2246</v>
      </c>
      <c r="CI16" s="53">
        <v>58.024999999999999</v>
      </c>
      <c r="CJ16" s="28"/>
      <c r="CK16" s="38">
        <v>1769</v>
      </c>
      <c r="CL16" s="38">
        <v>65.218999999999994</v>
      </c>
      <c r="CM16" s="28"/>
      <c r="CN16" s="38">
        <v>1494</v>
      </c>
      <c r="CO16" s="38">
        <v>59.366999999999997</v>
      </c>
      <c r="CP16" s="28"/>
      <c r="CQ16" s="38">
        <v>1073</v>
      </c>
      <c r="CR16" s="38">
        <v>57.491</v>
      </c>
      <c r="CS16" s="28"/>
      <c r="CT16" s="38">
        <v>1596</v>
      </c>
      <c r="CU16" s="38">
        <v>55.012</v>
      </c>
      <c r="CV16" s="28"/>
      <c r="CW16" s="38">
        <v>1696</v>
      </c>
      <c r="CX16" s="38">
        <v>54.686999999999998</v>
      </c>
      <c r="CY16" s="28"/>
      <c r="CZ16" s="38">
        <v>1895</v>
      </c>
      <c r="DA16" s="38">
        <v>56.777999999999999</v>
      </c>
      <c r="DB16" s="28"/>
      <c r="DC16" s="38">
        <v>1897</v>
      </c>
      <c r="DD16" s="38">
        <v>53.600999999999999</v>
      </c>
      <c r="DE16" s="28"/>
      <c r="DF16" s="38">
        <v>1616</v>
      </c>
      <c r="DG16" s="38">
        <v>59.918999999999997</v>
      </c>
      <c r="DH16" s="28"/>
      <c r="DI16" s="6">
        <v>1783</v>
      </c>
      <c r="DJ16" s="6">
        <v>58.866999999999997</v>
      </c>
      <c r="DK16" s="28"/>
      <c r="DL16" s="6">
        <v>1850</v>
      </c>
      <c r="DM16" s="6">
        <v>67.899000000000001</v>
      </c>
      <c r="DN16" s="28"/>
      <c r="DO16" s="6">
        <v>2091</v>
      </c>
      <c r="DP16" s="6">
        <v>56.792000000000002</v>
      </c>
    </row>
    <row r="17" spans="1:120" x14ac:dyDescent="0.35">
      <c r="B17" s="38">
        <f t="shared" si="0"/>
        <v>1536</v>
      </c>
      <c r="C17" s="53">
        <v>58.384999999999998</v>
      </c>
      <c r="E17" s="25">
        <v>1689</v>
      </c>
      <c r="F17" s="25">
        <v>53.744</v>
      </c>
      <c r="H17" s="25">
        <v>1918</v>
      </c>
      <c r="I17" s="25">
        <v>48.927</v>
      </c>
      <c r="K17" s="6">
        <v>2029</v>
      </c>
      <c r="L17" s="6">
        <v>55.24</v>
      </c>
      <c r="N17" s="6">
        <v>1954</v>
      </c>
      <c r="O17" s="6">
        <v>57.643999999999998</v>
      </c>
      <c r="Q17" s="21">
        <v>2151</v>
      </c>
      <c r="R17" s="25">
        <v>52.957000000000001</v>
      </c>
      <c r="Z17" s="6">
        <v>1481</v>
      </c>
      <c r="AA17" s="6">
        <v>56.386000000000003</v>
      </c>
      <c r="AC17" s="53">
        <v>1625</v>
      </c>
      <c r="AD17" s="53">
        <v>56.444000000000003</v>
      </c>
      <c r="AJ17" s="28"/>
      <c r="AK17" s="28"/>
      <c r="AL17" s="28"/>
      <c r="AM17" s="28"/>
      <c r="AN17" s="28"/>
      <c r="AO17" s="38">
        <v>2163</v>
      </c>
      <c r="AP17" s="6">
        <v>53.832000000000001</v>
      </c>
      <c r="AQ17" s="28"/>
      <c r="AR17" s="6">
        <v>2029</v>
      </c>
      <c r="AS17" s="6">
        <v>48.359000000000002</v>
      </c>
      <c r="AT17" s="28"/>
      <c r="AU17" s="53">
        <v>1563</v>
      </c>
      <c r="AV17" s="53">
        <v>52.509</v>
      </c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38">
        <v>1858</v>
      </c>
      <c r="BH17" s="38">
        <v>55.548999999999999</v>
      </c>
      <c r="BI17" s="28"/>
      <c r="BJ17" s="38">
        <v>1831</v>
      </c>
      <c r="BK17" s="38">
        <v>55.415999999999997</v>
      </c>
      <c r="BL17" s="28"/>
      <c r="BM17" s="52">
        <v>2204</v>
      </c>
      <c r="BN17" s="56">
        <v>55.984000000000002</v>
      </c>
      <c r="BO17" s="28"/>
      <c r="BP17" s="38">
        <v>1734</v>
      </c>
      <c r="BQ17" s="38">
        <v>57.472999999999999</v>
      </c>
      <c r="BR17" s="28"/>
      <c r="BS17" s="38">
        <v>1782</v>
      </c>
      <c r="BT17" s="38">
        <v>54.404000000000003</v>
      </c>
      <c r="BU17" s="28"/>
      <c r="BV17" s="38">
        <v>1820</v>
      </c>
      <c r="BW17" s="38">
        <v>53.665999999999997</v>
      </c>
      <c r="BX17" s="28"/>
      <c r="BY17" s="52">
        <v>1964</v>
      </c>
      <c r="BZ17" s="53">
        <v>52.151000000000003</v>
      </c>
      <c r="CA17" s="28"/>
      <c r="CB17" s="38">
        <v>2317</v>
      </c>
      <c r="CC17" s="38">
        <v>61.9</v>
      </c>
      <c r="CD17" s="28"/>
      <c r="CE17" s="53">
        <v>1648</v>
      </c>
      <c r="CF17" s="53">
        <v>56.774999999999999</v>
      </c>
      <c r="CG17" s="28"/>
      <c r="CH17" s="52">
        <v>2373</v>
      </c>
      <c r="CI17" s="53">
        <v>57.706000000000003</v>
      </c>
      <c r="CJ17" s="28"/>
      <c r="CK17" s="38">
        <v>1872</v>
      </c>
      <c r="CL17" s="38">
        <v>64.564999999999998</v>
      </c>
      <c r="CM17" s="28"/>
      <c r="CN17" s="38">
        <v>1636</v>
      </c>
      <c r="CO17" s="38">
        <v>59.664999999999999</v>
      </c>
      <c r="CP17" s="28"/>
      <c r="CQ17" s="38">
        <v>1140</v>
      </c>
      <c r="CR17" s="38">
        <v>56.53</v>
      </c>
      <c r="CS17" s="28"/>
      <c r="CT17" s="38">
        <v>1696</v>
      </c>
      <c r="CU17" s="38">
        <v>53.783999999999999</v>
      </c>
      <c r="CV17" s="13" t="s">
        <v>122</v>
      </c>
      <c r="CW17" s="15">
        <v>1793</v>
      </c>
      <c r="CX17" s="15">
        <v>50.116999999999997</v>
      </c>
      <c r="CY17" s="28"/>
      <c r="CZ17" s="38">
        <v>1992</v>
      </c>
      <c r="DA17" s="38">
        <v>56.095999999999997</v>
      </c>
      <c r="DB17" s="28"/>
      <c r="DC17" s="38">
        <v>2011</v>
      </c>
      <c r="DD17" s="38">
        <v>55.84</v>
      </c>
      <c r="DE17" s="28"/>
      <c r="DF17" s="38">
        <v>1722</v>
      </c>
      <c r="DG17" s="38">
        <v>59.505000000000003</v>
      </c>
      <c r="DH17" s="28"/>
      <c r="DI17" s="6">
        <v>1882</v>
      </c>
      <c r="DJ17" s="6">
        <v>59.837000000000003</v>
      </c>
      <c r="DK17" s="28"/>
      <c r="DL17" s="6">
        <v>1944</v>
      </c>
      <c r="DM17" s="6">
        <v>68.153999999999996</v>
      </c>
      <c r="DN17" s="28"/>
      <c r="DO17" s="6">
        <v>2215</v>
      </c>
      <c r="DP17" s="6">
        <v>60.737000000000002</v>
      </c>
    </row>
    <row r="18" spans="1:120" x14ac:dyDescent="0.35">
      <c r="B18" s="38">
        <f t="shared" si="0"/>
        <v>1669</v>
      </c>
      <c r="C18" s="53">
        <v>58.591999999999999</v>
      </c>
      <c r="E18" s="25">
        <v>1787</v>
      </c>
      <c r="F18" s="25">
        <v>55.542000000000002</v>
      </c>
      <c r="H18" s="25">
        <v>2029</v>
      </c>
      <c r="I18" s="25">
        <v>49.750999999999998</v>
      </c>
      <c r="K18" s="6">
        <v>2125</v>
      </c>
      <c r="L18" s="6">
        <v>55.9</v>
      </c>
      <c r="N18" s="6">
        <v>2180</v>
      </c>
      <c r="O18" s="6">
        <v>56.329000000000001</v>
      </c>
      <c r="P18" s="13" t="s">
        <v>109</v>
      </c>
      <c r="Q18" s="27">
        <v>2333</v>
      </c>
      <c r="R18" s="15">
        <v>56.247</v>
      </c>
      <c r="Z18" s="6">
        <v>1715</v>
      </c>
      <c r="AA18" s="6">
        <v>58.514000000000003</v>
      </c>
      <c r="AC18" s="53">
        <v>1713</v>
      </c>
      <c r="AD18" s="53">
        <v>54.569000000000003</v>
      </c>
      <c r="AJ18" s="28"/>
      <c r="AK18" s="28"/>
      <c r="AL18" s="28"/>
      <c r="AM18" s="28"/>
      <c r="AN18" s="28"/>
      <c r="AO18" s="38">
        <v>2266</v>
      </c>
      <c r="AP18" s="6">
        <v>54.7</v>
      </c>
      <c r="AQ18" s="28"/>
      <c r="AR18" s="6">
        <v>2125</v>
      </c>
      <c r="AS18" s="6">
        <v>52.573999999999998</v>
      </c>
      <c r="AT18" s="28"/>
      <c r="AU18" s="53">
        <v>1781</v>
      </c>
      <c r="AV18" s="53">
        <v>56.098999999999997</v>
      </c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38">
        <v>1964</v>
      </c>
      <c r="BH18" s="38">
        <v>54.151000000000003</v>
      </c>
      <c r="BI18" s="28"/>
      <c r="BJ18" s="38">
        <v>1956</v>
      </c>
      <c r="BK18" s="38">
        <v>55.942</v>
      </c>
      <c r="BL18" s="13" t="s">
        <v>54</v>
      </c>
      <c r="BM18" s="27">
        <v>2715</v>
      </c>
      <c r="BN18" s="15">
        <v>55.89</v>
      </c>
      <c r="BO18" s="28"/>
      <c r="BP18" s="38">
        <v>1873</v>
      </c>
      <c r="BQ18" s="38">
        <v>57.890999999999998</v>
      </c>
      <c r="BR18" s="28"/>
      <c r="BS18" s="38">
        <v>1912</v>
      </c>
      <c r="BT18" s="38">
        <v>56.262999999999998</v>
      </c>
      <c r="BU18" s="28"/>
      <c r="BV18" s="38">
        <v>2049</v>
      </c>
      <c r="BW18" s="38">
        <v>54.789000000000001</v>
      </c>
      <c r="BX18" s="28"/>
      <c r="BY18" s="52">
        <v>2094</v>
      </c>
      <c r="BZ18" s="53">
        <v>51.573999999999998</v>
      </c>
      <c r="CA18" s="28"/>
      <c r="CB18" s="38">
        <v>2462</v>
      </c>
      <c r="CC18" s="38">
        <v>62.31</v>
      </c>
      <c r="CD18" s="28"/>
      <c r="CE18" s="53">
        <v>2083</v>
      </c>
      <c r="CF18" s="53">
        <v>57.335999999999999</v>
      </c>
      <c r="CG18" s="28"/>
      <c r="CH18" s="52">
        <v>2495</v>
      </c>
      <c r="CI18" s="53">
        <v>56.332000000000001</v>
      </c>
      <c r="CJ18" s="28"/>
      <c r="CK18" s="38">
        <v>1998</v>
      </c>
      <c r="CL18" s="38">
        <v>63.845999999999997</v>
      </c>
      <c r="CM18" s="28"/>
      <c r="CN18" s="38">
        <v>1789</v>
      </c>
      <c r="CO18" s="38">
        <v>59.673000000000002</v>
      </c>
      <c r="CP18" s="28"/>
      <c r="CQ18" s="38">
        <v>1249</v>
      </c>
      <c r="CR18" s="38">
        <v>57.594999999999999</v>
      </c>
      <c r="CS18" s="28"/>
      <c r="CT18" s="38">
        <v>1835</v>
      </c>
      <c r="CU18" s="38">
        <v>54.472000000000001</v>
      </c>
      <c r="CV18" s="28"/>
      <c r="CW18" s="38">
        <v>1943</v>
      </c>
      <c r="CX18" s="38">
        <v>57.468000000000004</v>
      </c>
      <c r="CY18" s="28"/>
      <c r="CZ18" s="38">
        <v>2099</v>
      </c>
      <c r="DA18" s="38">
        <v>56.320999999999998</v>
      </c>
      <c r="DB18" s="13" t="s">
        <v>119</v>
      </c>
      <c r="DC18" s="15">
        <v>2093</v>
      </c>
      <c r="DD18" s="15">
        <v>51.16</v>
      </c>
      <c r="DE18" s="28"/>
      <c r="DF18" s="38">
        <v>1914</v>
      </c>
      <c r="DG18" s="38">
        <v>59.87</v>
      </c>
      <c r="DH18" s="28"/>
      <c r="DI18" s="6">
        <v>1977</v>
      </c>
      <c r="DJ18" s="6">
        <v>60.485999999999997</v>
      </c>
      <c r="DK18" s="28"/>
      <c r="DL18" s="6">
        <v>2071</v>
      </c>
      <c r="DM18" s="6">
        <v>70.399000000000001</v>
      </c>
      <c r="DN18" s="28"/>
      <c r="DO18" s="6">
        <v>2315</v>
      </c>
      <c r="DP18" s="6">
        <v>62.106000000000002</v>
      </c>
    </row>
    <row r="19" spans="1:120" x14ac:dyDescent="0.35">
      <c r="B19" s="38">
        <f t="shared" si="0"/>
        <v>1762</v>
      </c>
      <c r="C19" s="53">
        <v>57.457000000000001</v>
      </c>
      <c r="E19" s="25">
        <v>1896</v>
      </c>
      <c r="F19" s="25">
        <v>56.069000000000003</v>
      </c>
      <c r="H19" s="25">
        <v>2133</v>
      </c>
      <c r="I19" s="25">
        <v>50.283999999999999</v>
      </c>
      <c r="J19" s="13" t="s">
        <v>54</v>
      </c>
      <c r="K19" s="15">
        <v>2387</v>
      </c>
      <c r="L19" s="15">
        <v>56.11</v>
      </c>
      <c r="N19" s="6">
        <v>2247</v>
      </c>
      <c r="O19" s="6">
        <v>57.012</v>
      </c>
      <c r="Q19" s="27">
        <v>2361</v>
      </c>
      <c r="R19" s="15">
        <v>58.112000000000002</v>
      </c>
      <c r="Z19" s="6">
        <v>1973</v>
      </c>
      <c r="AA19" s="6">
        <v>57.256</v>
      </c>
      <c r="AC19" s="53">
        <v>1867</v>
      </c>
      <c r="AD19" s="53">
        <v>55.415999999999997</v>
      </c>
      <c r="AJ19" s="28"/>
      <c r="AK19" s="28"/>
      <c r="AL19" s="28"/>
      <c r="AM19" s="28"/>
      <c r="AN19" s="28"/>
      <c r="AO19" s="38">
        <v>2426</v>
      </c>
      <c r="AP19" s="6">
        <v>56.771999999999998</v>
      </c>
      <c r="AQ19" s="28"/>
      <c r="AR19" s="6">
        <v>2239</v>
      </c>
      <c r="AS19" s="6">
        <v>51.052999999999997</v>
      </c>
      <c r="AT19" s="28"/>
      <c r="AU19" s="53">
        <v>1893</v>
      </c>
      <c r="AV19" s="53">
        <v>55.606000000000002</v>
      </c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38">
        <v>2071</v>
      </c>
      <c r="BH19" s="38">
        <v>54.558999999999997</v>
      </c>
      <c r="BI19" s="19" t="s">
        <v>54</v>
      </c>
      <c r="BJ19" s="9">
        <v>2273</v>
      </c>
      <c r="BK19" s="9">
        <v>55.89</v>
      </c>
      <c r="BL19" s="28"/>
      <c r="BM19" s="28"/>
      <c r="BN19" s="28"/>
      <c r="BO19" s="28"/>
      <c r="BP19" s="38">
        <v>1977</v>
      </c>
      <c r="BQ19" s="38">
        <v>57.905000000000001</v>
      </c>
      <c r="BR19" s="28"/>
      <c r="BS19" s="38">
        <v>2010</v>
      </c>
      <c r="BT19" s="38">
        <v>56.347000000000001</v>
      </c>
      <c r="BU19" s="28"/>
      <c r="BV19" s="38">
        <v>2155</v>
      </c>
      <c r="BW19" s="38">
        <v>54.716999999999999</v>
      </c>
      <c r="BX19" s="28"/>
      <c r="BY19" s="52">
        <v>2206</v>
      </c>
      <c r="BZ19" s="53">
        <v>55.116</v>
      </c>
      <c r="CA19" s="28"/>
      <c r="CB19" s="38">
        <v>2794</v>
      </c>
      <c r="CC19" s="38">
        <v>59.868000000000002</v>
      </c>
      <c r="CD19" s="28"/>
      <c r="CE19" s="53">
        <v>2406</v>
      </c>
      <c r="CF19" s="53">
        <v>56.045999999999999</v>
      </c>
      <c r="CG19" s="28"/>
      <c r="CH19" s="52">
        <v>2611</v>
      </c>
      <c r="CI19" s="53">
        <v>57.148000000000003</v>
      </c>
      <c r="CJ19" s="28"/>
      <c r="CK19" s="38">
        <v>2114</v>
      </c>
      <c r="CL19" s="38">
        <v>62.738</v>
      </c>
      <c r="CM19" s="28"/>
      <c r="CN19" s="38">
        <v>2082</v>
      </c>
      <c r="CO19" s="38">
        <v>60.892000000000003</v>
      </c>
      <c r="CP19" s="28"/>
      <c r="CQ19" s="38">
        <v>1390</v>
      </c>
      <c r="CR19" s="38">
        <v>58.078000000000003</v>
      </c>
      <c r="CS19" s="28"/>
      <c r="CT19" s="38">
        <v>1954</v>
      </c>
      <c r="CU19" s="38">
        <v>57.405000000000001</v>
      </c>
      <c r="CV19" s="28"/>
      <c r="CW19" s="38">
        <v>2077</v>
      </c>
      <c r="CX19" s="38">
        <v>54.432000000000002</v>
      </c>
      <c r="CY19" s="19" t="s">
        <v>120</v>
      </c>
      <c r="CZ19" s="9">
        <v>2218</v>
      </c>
      <c r="DA19" s="9">
        <v>49.22</v>
      </c>
      <c r="DB19" s="28"/>
      <c r="DC19" s="15">
        <v>2109</v>
      </c>
      <c r="DD19" s="15">
        <v>51.637</v>
      </c>
      <c r="DE19" s="28"/>
      <c r="DF19" s="38">
        <v>2064</v>
      </c>
      <c r="DG19" s="38">
        <v>60.579000000000001</v>
      </c>
      <c r="DH19" s="28"/>
      <c r="DI19" s="6">
        <v>2210</v>
      </c>
      <c r="DJ19" s="6">
        <v>59.411000000000001</v>
      </c>
      <c r="DK19" s="28"/>
      <c r="DL19" s="6">
        <v>2347</v>
      </c>
      <c r="DM19" s="6">
        <v>69.841999999999999</v>
      </c>
      <c r="DN19" s="28"/>
      <c r="DO19" s="6">
        <v>2423</v>
      </c>
      <c r="DP19" s="6">
        <v>61.569000000000003</v>
      </c>
    </row>
    <row r="20" spans="1:120" x14ac:dyDescent="0.35">
      <c r="B20" s="38">
        <f t="shared" si="0"/>
        <v>1897</v>
      </c>
      <c r="C20" s="53">
        <v>57.905999999999999</v>
      </c>
      <c r="E20" s="25">
        <v>1988</v>
      </c>
      <c r="F20" s="25">
        <v>57.718000000000004</v>
      </c>
      <c r="H20" s="25">
        <v>2248</v>
      </c>
      <c r="I20" s="25">
        <v>52.338999999999999</v>
      </c>
      <c r="N20" s="6">
        <v>2358</v>
      </c>
      <c r="O20" s="6">
        <v>54.8</v>
      </c>
      <c r="Q20" s="21">
        <v>2405</v>
      </c>
      <c r="R20" s="25">
        <v>57.085999999999999</v>
      </c>
      <c r="Z20" s="6">
        <v>2205</v>
      </c>
      <c r="AA20" s="6">
        <v>55.875</v>
      </c>
      <c r="AC20" s="53">
        <v>1924</v>
      </c>
      <c r="AD20" s="53">
        <v>56.545999999999999</v>
      </c>
      <c r="AJ20" s="28"/>
      <c r="AK20" s="28"/>
      <c r="AL20" s="28"/>
      <c r="AM20" s="28"/>
      <c r="AN20" s="28"/>
      <c r="AO20" s="38">
        <v>2541</v>
      </c>
      <c r="AP20" s="6">
        <v>54.911999999999999</v>
      </c>
      <c r="AQ20" s="28"/>
      <c r="AR20" s="6">
        <v>2667</v>
      </c>
      <c r="AS20" s="6">
        <v>54.015999999999998</v>
      </c>
      <c r="AT20" s="28"/>
      <c r="AU20" s="53">
        <v>1995</v>
      </c>
      <c r="AV20" s="53">
        <v>54.796999999999997</v>
      </c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38">
        <v>2204</v>
      </c>
      <c r="BH20" s="38">
        <v>54.722000000000001</v>
      </c>
      <c r="BI20" s="28"/>
      <c r="BJ20" s="28"/>
      <c r="BK20" s="28"/>
      <c r="BL20" s="28"/>
      <c r="BM20" s="28"/>
      <c r="BN20" s="28"/>
      <c r="BO20" s="28"/>
      <c r="BP20" s="38">
        <v>2103</v>
      </c>
      <c r="BQ20" s="38">
        <v>57.904000000000003</v>
      </c>
      <c r="BR20" s="28"/>
      <c r="BS20" s="38">
        <v>2129</v>
      </c>
      <c r="BT20" s="38">
        <v>56.186999999999998</v>
      </c>
      <c r="BU20" s="28"/>
      <c r="BV20" s="38">
        <v>2258</v>
      </c>
      <c r="BW20" s="38">
        <v>51.991999999999997</v>
      </c>
      <c r="BX20" s="28"/>
      <c r="BY20" s="52">
        <v>2303</v>
      </c>
      <c r="BZ20" s="53">
        <v>56.06</v>
      </c>
      <c r="CA20" s="28"/>
      <c r="CB20" s="38">
        <v>2917</v>
      </c>
      <c r="CC20" s="38">
        <v>60.296999999999997</v>
      </c>
      <c r="CD20" s="28"/>
      <c r="CE20" s="53">
        <v>2578</v>
      </c>
      <c r="CF20" s="53">
        <v>57.569000000000003</v>
      </c>
      <c r="CG20" s="28"/>
      <c r="CH20" s="52">
        <v>2707</v>
      </c>
      <c r="CI20" s="53">
        <v>54.393000000000001</v>
      </c>
      <c r="CJ20" s="28"/>
      <c r="CK20" s="38">
        <v>2232</v>
      </c>
      <c r="CL20" s="38">
        <v>62.073</v>
      </c>
      <c r="CM20" s="28"/>
      <c r="CN20" s="38">
        <v>2201</v>
      </c>
      <c r="CO20" s="38">
        <v>62.057000000000002</v>
      </c>
      <c r="CP20" s="28"/>
      <c r="CQ20" s="38">
        <v>1518</v>
      </c>
      <c r="CR20" s="38">
        <v>57.122999999999998</v>
      </c>
      <c r="CS20" s="28"/>
      <c r="CT20" s="38">
        <v>2053</v>
      </c>
      <c r="CU20" s="38">
        <v>56.798999999999999</v>
      </c>
      <c r="CV20" s="28"/>
      <c r="CW20" s="38">
        <v>2172</v>
      </c>
      <c r="CX20" s="38">
        <v>56.393999999999998</v>
      </c>
      <c r="CY20" s="28"/>
      <c r="CZ20" s="38">
        <v>2297</v>
      </c>
      <c r="DA20" s="38">
        <v>52.384999999999998</v>
      </c>
      <c r="DB20" s="28"/>
      <c r="DC20" s="38">
        <v>2314</v>
      </c>
      <c r="DD20" s="38">
        <v>56.53</v>
      </c>
      <c r="DE20" s="28"/>
      <c r="DF20" s="38">
        <v>2379</v>
      </c>
      <c r="DG20" s="38">
        <v>58.55</v>
      </c>
      <c r="DH20" s="28"/>
      <c r="DI20" s="6">
        <v>2346</v>
      </c>
      <c r="DJ20" s="6">
        <v>56.936</v>
      </c>
      <c r="DK20" s="28"/>
      <c r="DL20" s="6">
        <v>2460</v>
      </c>
      <c r="DM20" s="6">
        <v>69.671999999999997</v>
      </c>
      <c r="DN20" s="28"/>
      <c r="DO20" s="6">
        <v>2520</v>
      </c>
      <c r="DP20" s="6">
        <v>62.96</v>
      </c>
    </row>
    <row r="21" spans="1:120" x14ac:dyDescent="0.35">
      <c r="B21" s="38">
        <f t="shared" si="0"/>
        <v>2021</v>
      </c>
      <c r="C21" s="53">
        <v>56.444000000000003</v>
      </c>
      <c r="E21" s="25">
        <v>2099</v>
      </c>
      <c r="F21" s="25">
        <v>58.250999999999998</v>
      </c>
      <c r="H21" s="25">
        <v>2357</v>
      </c>
      <c r="I21" s="25">
        <v>53.043999999999997</v>
      </c>
      <c r="N21" s="6">
        <v>2504</v>
      </c>
      <c r="O21" s="6">
        <v>54.319000000000003</v>
      </c>
      <c r="Q21" s="21">
        <v>2535</v>
      </c>
      <c r="R21" s="25">
        <v>57.311999999999998</v>
      </c>
      <c r="Z21" s="6">
        <v>2353</v>
      </c>
      <c r="AA21" s="6">
        <v>55.817</v>
      </c>
      <c r="AC21" s="53">
        <v>2169</v>
      </c>
      <c r="AD21" s="53">
        <v>58.978999999999999</v>
      </c>
      <c r="AJ21" s="28"/>
      <c r="AK21" s="28"/>
      <c r="AL21" s="28"/>
      <c r="AM21" s="28"/>
      <c r="AN21" s="28"/>
      <c r="AO21" s="38">
        <v>2727</v>
      </c>
      <c r="AP21" s="6">
        <v>53.277000000000001</v>
      </c>
      <c r="AQ21" s="28"/>
      <c r="AR21" s="6">
        <v>2780</v>
      </c>
      <c r="AS21" s="6">
        <v>55.792999999999999</v>
      </c>
      <c r="AT21" s="13" t="s">
        <v>54</v>
      </c>
      <c r="AU21" s="15">
        <v>2081</v>
      </c>
      <c r="AV21" s="15">
        <v>55.89</v>
      </c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38">
        <v>2326</v>
      </c>
      <c r="BH21" s="38">
        <v>54.911999999999999</v>
      </c>
      <c r="BI21" s="28"/>
      <c r="BJ21" s="28"/>
      <c r="BK21" s="28"/>
      <c r="BL21" s="28"/>
      <c r="BM21" s="28"/>
      <c r="BN21" s="28"/>
      <c r="BO21" s="28"/>
      <c r="BP21" s="38">
        <v>2174</v>
      </c>
      <c r="BQ21" s="38">
        <v>57.959000000000003</v>
      </c>
      <c r="BR21" s="28"/>
      <c r="BS21" s="38">
        <v>2220</v>
      </c>
      <c r="BT21" s="38">
        <v>56.002000000000002</v>
      </c>
      <c r="BU21" s="28"/>
      <c r="BV21" s="38">
        <v>2361</v>
      </c>
      <c r="BW21" s="38">
        <v>52.593000000000004</v>
      </c>
      <c r="BX21" s="28"/>
      <c r="BY21" s="52">
        <v>2523</v>
      </c>
      <c r="BZ21" s="53">
        <v>55.23</v>
      </c>
      <c r="CA21" s="28"/>
      <c r="CB21" s="38">
        <v>3022</v>
      </c>
      <c r="CC21" s="38">
        <v>59.710999999999999</v>
      </c>
      <c r="CD21" s="28"/>
      <c r="CE21" s="53">
        <v>2723</v>
      </c>
      <c r="CF21" s="53">
        <v>58.326000000000001</v>
      </c>
      <c r="CG21" s="28"/>
      <c r="CH21" s="52">
        <v>2977</v>
      </c>
      <c r="CI21" s="53">
        <v>56.499000000000002</v>
      </c>
      <c r="CJ21" s="28"/>
      <c r="CK21" s="38">
        <v>2326</v>
      </c>
      <c r="CL21" s="38">
        <v>62.384</v>
      </c>
      <c r="CM21" s="28"/>
      <c r="CN21" s="38">
        <v>2327</v>
      </c>
      <c r="CO21" s="38">
        <v>60.610999999999997</v>
      </c>
      <c r="CP21" s="28"/>
      <c r="CQ21" s="38">
        <v>1607</v>
      </c>
      <c r="CR21" s="38">
        <v>57.470999999999997</v>
      </c>
      <c r="CS21" s="28"/>
      <c r="CT21" s="38">
        <v>2136</v>
      </c>
      <c r="CU21" s="38">
        <v>57.470999999999997</v>
      </c>
      <c r="CV21" s="28"/>
      <c r="CW21" s="38">
        <v>2276</v>
      </c>
      <c r="CX21" s="38">
        <v>57.491</v>
      </c>
      <c r="CY21" s="28"/>
      <c r="CZ21" s="38">
        <v>2576</v>
      </c>
      <c r="DA21" s="38">
        <v>52.841999999999999</v>
      </c>
      <c r="DB21" s="28"/>
      <c r="DC21" s="38">
        <v>2425</v>
      </c>
      <c r="DD21" s="38">
        <v>57.594999999999999</v>
      </c>
      <c r="DE21" s="28"/>
      <c r="DF21" s="38">
        <v>2577</v>
      </c>
      <c r="DG21" s="38">
        <v>58.567</v>
      </c>
      <c r="DH21" s="28"/>
      <c r="DI21" s="6">
        <v>2476</v>
      </c>
      <c r="DJ21" s="6">
        <v>59.465000000000003</v>
      </c>
      <c r="DK21" s="28"/>
      <c r="DL21" s="6">
        <v>2577</v>
      </c>
      <c r="DM21" s="6">
        <v>70.245999999999995</v>
      </c>
      <c r="DN21" s="28"/>
      <c r="DO21" s="6">
        <v>2622</v>
      </c>
      <c r="DP21" s="6">
        <v>62.497</v>
      </c>
    </row>
    <row r="22" spans="1:120" x14ac:dyDescent="0.35">
      <c r="B22" s="38">
        <f t="shared" si="0"/>
        <v>2109</v>
      </c>
      <c r="C22" s="53">
        <v>54.569000000000003</v>
      </c>
      <c r="E22" s="25">
        <v>2144</v>
      </c>
      <c r="F22" s="25">
        <v>58.695</v>
      </c>
      <c r="H22" s="25">
        <v>2464</v>
      </c>
      <c r="I22" s="25">
        <v>54.584000000000003</v>
      </c>
      <c r="N22" s="6">
        <v>2609</v>
      </c>
      <c r="O22" s="6">
        <v>55.225999999999999</v>
      </c>
      <c r="Q22" s="21">
        <v>2634</v>
      </c>
      <c r="R22" s="25">
        <v>58.142000000000003</v>
      </c>
      <c r="Z22" s="6">
        <v>2585</v>
      </c>
      <c r="AA22" s="6">
        <v>54.966000000000001</v>
      </c>
      <c r="AB22" s="13" t="s">
        <v>54</v>
      </c>
      <c r="AC22" s="40">
        <v>2353</v>
      </c>
      <c r="AD22" s="40">
        <v>55.89</v>
      </c>
      <c r="AJ22" s="28"/>
      <c r="AK22" s="28"/>
      <c r="AL22" s="28"/>
      <c r="AM22" s="28"/>
      <c r="AN22" s="28"/>
      <c r="AO22" s="38">
        <v>2869</v>
      </c>
      <c r="AP22" s="6">
        <v>51.792999999999999</v>
      </c>
      <c r="AQ22" s="28"/>
      <c r="AR22" s="6">
        <v>3065</v>
      </c>
      <c r="AS22" s="6">
        <v>53.832000000000001</v>
      </c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38">
        <v>2690</v>
      </c>
      <c r="BH22" s="38">
        <v>51.792999999999999</v>
      </c>
      <c r="BI22" s="28"/>
      <c r="BJ22" s="28"/>
      <c r="BK22" s="28"/>
      <c r="BL22" s="28"/>
      <c r="BM22" s="28"/>
      <c r="BN22" s="28"/>
      <c r="BO22" s="28"/>
      <c r="BP22" s="38">
        <v>2425</v>
      </c>
      <c r="BQ22" s="38">
        <v>58.591999999999999</v>
      </c>
      <c r="BR22" s="28"/>
      <c r="BS22" s="38">
        <v>2314</v>
      </c>
      <c r="BT22" s="38">
        <v>54.584000000000003</v>
      </c>
      <c r="BU22" s="28"/>
      <c r="BV22" s="38">
        <v>2474</v>
      </c>
      <c r="BW22" s="38">
        <v>55.386000000000003</v>
      </c>
      <c r="BX22" s="28"/>
      <c r="BY22" s="52">
        <v>2599</v>
      </c>
      <c r="BZ22" s="53">
        <v>54.863999999999997</v>
      </c>
      <c r="CA22" s="28"/>
      <c r="CB22" s="38">
        <v>3109</v>
      </c>
      <c r="CC22" s="38">
        <v>59.621000000000002</v>
      </c>
      <c r="CD22" s="28"/>
      <c r="CE22" s="53">
        <v>2860</v>
      </c>
      <c r="CF22" s="53">
        <v>55.542000000000002</v>
      </c>
      <c r="CG22" s="28"/>
      <c r="CH22" s="52">
        <v>3091</v>
      </c>
      <c r="CI22" s="53">
        <v>57.075000000000003</v>
      </c>
      <c r="CJ22" s="28"/>
      <c r="CK22" s="38">
        <v>2434</v>
      </c>
      <c r="CL22" s="38">
        <v>61.41</v>
      </c>
      <c r="CM22" s="28"/>
      <c r="CN22" s="38">
        <v>2643</v>
      </c>
      <c r="CO22" s="38">
        <v>61.42</v>
      </c>
      <c r="CP22" s="28"/>
      <c r="CQ22" s="38">
        <v>1775</v>
      </c>
      <c r="CR22" s="38">
        <v>59.203000000000003</v>
      </c>
      <c r="CS22" s="19" t="s">
        <v>118</v>
      </c>
      <c r="CT22" s="9">
        <v>2162</v>
      </c>
      <c r="CU22" s="9">
        <v>57.951000000000001</v>
      </c>
      <c r="CV22" s="28"/>
      <c r="CW22" s="38">
        <v>2453</v>
      </c>
      <c r="CX22" s="38">
        <v>57.594999999999999</v>
      </c>
      <c r="CY22" s="28"/>
      <c r="CZ22" s="38">
        <v>2835</v>
      </c>
      <c r="DA22" s="38">
        <v>57.46</v>
      </c>
      <c r="DB22" s="28"/>
      <c r="DC22" s="38">
        <v>2566</v>
      </c>
      <c r="DD22" s="38">
        <v>58.078000000000003</v>
      </c>
      <c r="DE22" s="28"/>
      <c r="DF22" s="38">
        <v>2640</v>
      </c>
      <c r="DG22" s="38">
        <v>56.777999999999999</v>
      </c>
      <c r="DH22" s="28"/>
      <c r="DI22" s="6">
        <v>2568</v>
      </c>
      <c r="DJ22" s="6">
        <v>58.88</v>
      </c>
      <c r="DK22" s="28"/>
      <c r="DL22" s="6">
        <v>2684</v>
      </c>
      <c r="DM22" s="6">
        <v>70.292000000000002</v>
      </c>
      <c r="DN22" s="28"/>
      <c r="DO22" s="6">
        <v>2741</v>
      </c>
      <c r="DP22" s="6">
        <v>63.186999999999998</v>
      </c>
    </row>
    <row r="23" spans="1:120" x14ac:dyDescent="0.35">
      <c r="B23" s="38">
        <f t="shared" si="0"/>
        <v>2263</v>
      </c>
      <c r="C23" s="53">
        <v>55.415999999999997</v>
      </c>
      <c r="E23" s="25">
        <v>2310</v>
      </c>
      <c r="F23" s="25">
        <v>59.475999999999999</v>
      </c>
      <c r="H23" s="25">
        <v>2567</v>
      </c>
      <c r="I23" s="25">
        <v>56.247</v>
      </c>
      <c r="N23" s="6">
        <v>2751</v>
      </c>
      <c r="O23" s="6">
        <v>54.966000000000001</v>
      </c>
      <c r="Q23" s="21">
        <v>2760</v>
      </c>
      <c r="R23" s="25">
        <v>57.643999999999998</v>
      </c>
      <c r="Z23" s="6">
        <v>2693</v>
      </c>
      <c r="AA23" s="6">
        <v>55.9</v>
      </c>
      <c r="AJ23" s="28"/>
      <c r="AK23" s="28"/>
      <c r="AL23" s="28"/>
      <c r="AM23" s="28"/>
      <c r="AN23" s="28"/>
      <c r="AO23" s="38">
        <v>3216</v>
      </c>
      <c r="AP23" s="6">
        <v>55.569000000000003</v>
      </c>
      <c r="AQ23" s="28"/>
      <c r="AR23" s="6">
        <v>3245</v>
      </c>
      <c r="AS23" s="6">
        <v>55.384</v>
      </c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38">
        <v>3043</v>
      </c>
      <c r="BH23" s="38">
        <v>54.133000000000003</v>
      </c>
      <c r="BI23" s="28"/>
      <c r="BJ23" s="28"/>
      <c r="BK23" s="28"/>
      <c r="BL23" s="28"/>
      <c r="BM23" s="28"/>
      <c r="BN23" s="28"/>
      <c r="BO23" s="28"/>
      <c r="BP23" s="38">
        <v>2659</v>
      </c>
      <c r="BQ23" s="38">
        <v>57.107999999999997</v>
      </c>
      <c r="BR23" s="28"/>
      <c r="BS23" s="38">
        <v>2461</v>
      </c>
      <c r="BT23" s="38">
        <v>55.811</v>
      </c>
      <c r="BU23" s="28"/>
      <c r="BV23" s="38">
        <v>2824</v>
      </c>
      <c r="BW23" s="38">
        <v>54.600999999999999</v>
      </c>
      <c r="BX23" s="28"/>
      <c r="BY23" s="52">
        <v>2738</v>
      </c>
      <c r="BZ23" s="53">
        <v>54.606000000000002</v>
      </c>
      <c r="CA23" s="28"/>
      <c r="CB23" s="38">
        <v>3193</v>
      </c>
      <c r="CC23" s="38">
        <v>58.758000000000003</v>
      </c>
      <c r="CD23" s="28"/>
      <c r="CE23" s="53">
        <v>2963</v>
      </c>
      <c r="CF23" s="53">
        <v>56.765000000000001</v>
      </c>
      <c r="CG23" s="19" t="s">
        <v>54</v>
      </c>
      <c r="CH23" s="31">
        <v>3288</v>
      </c>
      <c r="CI23" s="9">
        <v>55.89</v>
      </c>
      <c r="CJ23" s="28"/>
      <c r="CK23" s="38">
        <v>2547</v>
      </c>
      <c r="CL23" s="38">
        <v>61.761000000000003</v>
      </c>
      <c r="CM23" s="28"/>
      <c r="CN23" s="38">
        <v>2863</v>
      </c>
      <c r="CO23" s="38">
        <v>61.83</v>
      </c>
      <c r="CP23" s="28"/>
      <c r="CQ23" s="38">
        <v>1879</v>
      </c>
      <c r="CR23" s="38">
        <v>59.366999999999997</v>
      </c>
      <c r="CS23" s="28"/>
      <c r="CT23" s="38">
        <v>2434</v>
      </c>
      <c r="CU23" s="38">
        <v>59.366999999999997</v>
      </c>
      <c r="CV23" s="28"/>
      <c r="CW23" s="38">
        <v>2592</v>
      </c>
      <c r="CX23" s="38">
        <v>58.078000000000003</v>
      </c>
      <c r="CY23" s="28"/>
      <c r="CZ23" s="38">
        <v>2950</v>
      </c>
      <c r="DA23" s="38">
        <v>57.594999999999999</v>
      </c>
      <c r="DB23" s="28"/>
      <c r="DC23" s="38">
        <v>2702</v>
      </c>
      <c r="DD23" s="38">
        <v>57.122999999999998</v>
      </c>
      <c r="DE23" s="28"/>
      <c r="DF23" s="38">
        <v>2782</v>
      </c>
      <c r="DG23" s="38">
        <v>55.45</v>
      </c>
      <c r="DH23" s="28"/>
      <c r="DI23" s="6">
        <v>2812</v>
      </c>
      <c r="DJ23" s="6">
        <v>60.472999999999999</v>
      </c>
      <c r="DK23" s="28"/>
      <c r="DL23" s="6">
        <v>2784</v>
      </c>
      <c r="DM23" s="6">
        <v>69.308999999999997</v>
      </c>
      <c r="DN23" s="28"/>
      <c r="DO23" s="6">
        <v>2842</v>
      </c>
      <c r="DP23" s="6">
        <v>62.597999999999999</v>
      </c>
    </row>
    <row r="24" spans="1:120" x14ac:dyDescent="0.35">
      <c r="B24" s="38">
        <f t="shared" si="0"/>
        <v>2320</v>
      </c>
      <c r="C24" s="53">
        <v>56.545999999999999</v>
      </c>
      <c r="E24" s="25">
        <v>2494</v>
      </c>
      <c r="F24" s="25">
        <v>56.25</v>
      </c>
      <c r="H24" s="25">
        <v>2610</v>
      </c>
      <c r="I24" s="25">
        <v>56.398000000000003</v>
      </c>
      <c r="N24" s="6">
        <v>2858</v>
      </c>
      <c r="O24" s="6">
        <v>54.55</v>
      </c>
      <c r="Q24" s="21">
        <v>2990</v>
      </c>
      <c r="R24" s="25">
        <v>56.329000000000001</v>
      </c>
      <c r="Z24" s="6">
        <v>2791</v>
      </c>
      <c r="AA24" s="6">
        <v>55.97</v>
      </c>
      <c r="AJ24" s="28"/>
      <c r="AK24" s="28"/>
      <c r="AL24" s="28"/>
      <c r="AM24" s="28"/>
      <c r="AN24" s="28"/>
      <c r="AO24" s="38">
        <v>3305</v>
      </c>
      <c r="AP24" s="6">
        <v>56.9</v>
      </c>
      <c r="AQ24" s="28"/>
      <c r="AR24" s="6">
        <v>3622</v>
      </c>
      <c r="AS24" s="6">
        <v>53.277000000000001</v>
      </c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38">
        <v>3142</v>
      </c>
      <c r="BH24" s="38">
        <v>55.984000000000002</v>
      </c>
      <c r="BI24" s="28"/>
      <c r="BJ24" s="28"/>
      <c r="BK24" s="28"/>
      <c r="BL24" s="28"/>
      <c r="BM24" s="28"/>
      <c r="BN24" s="28"/>
      <c r="BO24" s="28"/>
      <c r="BP24" s="38">
        <v>2773</v>
      </c>
      <c r="BQ24" s="38">
        <v>56.444000000000003</v>
      </c>
      <c r="BR24" s="28"/>
      <c r="BS24" s="38">
        <v>2614</v>
      </c>
      <c r="BT24" s="38">
        <v>56.845999999999997</v>
      </c>
      <c r="BU24" s="28"/>
      <c r="BV24" s="38">
        <v>3025</v>
      </c>
      <c r="BW24" s="38">
        <v>55.543999999999997</v>
      </c>
      <c r="BX24" s="28"/>
      <c r="BY24" s="52">
        <v>3113</v>
      </c>
      <c r="BZ24" s="53">
        <v>56.893999999999998</v>
      </c>
      <c r="CA24" s="28"/>
      <c r="CB24" s="38">
        <v>3285</v>
      </c>
      <c r="CC24" s="38">
        <v>58.268999999999998</v>
      </c>
      <c r="CD24" s="28"/>
      <c r="CE24" s="53">
        <v>3058</v>
      </c>
      <c r="CF24" s="53">
        <v>56.045000000000002</v>
      </c>
      <c r="CG24" s="28"/>
      <c r="CH24" s="28"/>
      <c r="CI24" s="28"/>
      <c r="CJ24" s="28"/>
      <c r="CK24" s="38">
        <v>2645</v>
      </c>
      <c r="CL24" s="38">
        <v>60.904000000000003</v>
      </c>
      <c r="CM24" s="28"/>
      <c r="CN24" s="38">
        <v>3241</v>
      </c>
      <c r="CO24" s="38">
        <v>62.295000000000002</v>
      </c>
      <c r="CP24" s="28"/>
      <c r="CQ24" s="38">
        <v>2020</v>
      </c>
      <c r="CR24" s="38">
        <v>59.664999999999999</v>
      </c>
      <c r="CS24" s="28"/>
      <c r="CT24" s="38">
        <v>2574</v>
      </c>
      <c r="CU24" s="38">
        <v>59.664999999999999</v>
      </c>
      <c r="CV24" s="28"/>
      <c r="CW24" s="38">
        <v>2722</v>
      </c>
      <c r="CX24" s="38">
        <v>57.122999999999998</v>
      </c>
      <c r="CY24" s="28"/>
      <c r="CZ24" s="38">
        <v>3079</v>
      </c>
      <c r="DA24" s="38">
        <v>58.078000000000003</v>
      </c>
      <c r="DB24" s="28"/>
      <c r="DC24" s="38">
        <v>2952</v>
      </c>
      <c r="DD24" s="38">
        <v>59.203000000000003</v>
      </c>
      <c r="DE24" s="19" t="s">
        <v>110</v>
      </c>
      <c r="DF24" s="9">
        <v>2957</v>
      </c>
      <c r="DG24" s="9">
        <v>51.936</v>
      </c>
      <c r="DH24" s="28"/>
      <c r="DI24" s="6">
        <v>2910</v>
      </c>
      <c r="DJ24" s="6">
        <v>59.918999999999997</v>
      </c>
      <c r="DK24" s="28"/>
      <c r="DL24" s="6">
        <v>2895</v>
      </c>
      <c r="DM24" s="6">
        <v>69.120999999999995</v>
      </c>
      <c r="DN24" s="28"/>
      <c r="DO24" s="6">
        <v>2953</v>
      </c>
      <c r="DP24" s="6">
        <v>62.6</v>
      </c>
    </row>
    <row r="25" spans="1:120" x14ac:dyDescent="0.35">
      <c r="B25" s="38">
        <f t="shared" si="0"/>
        <v>2565</v>
      </c>
      <c r="C25" s="53">
        <v>58.978999999999999</v>
      </c>
      <c r="E25" s="25">
        <v>2609</v>
      </c>
      <c r="F25" s="25">
        <v>56.036999999999999</v>
      </c>
      <c r="H25" s="25">
        <v>2740</v>
      </c>
      <c r="I25" s="25">
        <v>58.866</v>
      </c>
      <c r="N25" s="6">
        <v>2983</v>
      </c>
      <c r="O25" s="6">
        <v>54.82</v>
      </c>
      <c r="Q25" s="21">
        <v>3174</v>
      </c>
      <c r="R25" s="25">
        <v>55.875</v>
      </c>
      <c r="Y25" s="19" t="s">
        <v>54</v>
      </c>
      <c r="Z25" s="9">
        <v>3102</v>
      </c>
      <c r="AA25" s="9">
        <v>56.11</v>
      </c>
      <c r="AJ25" s="28"/>
      <c r="AK25" s="28"/>
      <c r="AL25" s="28"/>
      <c r="AM25" s="28"/>
      <c r="AN25" s="13" t="s">
        <v>54</v>
      </c>
      <c r="AO25" s="15">
        <v>3768</v>
      </c>
      <c r="AP25" s="15">
        <v>55.89</v>
      </c>
      <c r="AQ25" s="28"/>
      <c r="AR25" s="6">
        <v>3759</v>
      </c>
      <c r="AS25" s="6">
        <v>51.792999999999999</v>
      </c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38">
        <v>3196</v>
      </c>
      <c r="BH25" s="38">
        <v>56.9</v>
      </c>
      <c r="BI25" s="28"/>
      <c r="BJ25" s="28"/>
      <c r="BK25" s="28"/>
      <c r="BL25" s="28"/>
      <c r="BM25" s="28"/>
      <c r="BN25" s="28"/>
      <c r="BO25" s="28"/>
      <c r="BP25" s="38">
        <v>2861</v>
      </c>
      <c r="BQ25" s="38">
        <v>54.569000000000003</v>
      </c>
      <c r="BR25" s="28"/>
      <c r="BS25" s="38">
        <v>2721</v>
      </c>
      <c r="BT25" s="38">
        <v>56.734000000000002</v>
      </c>
      <c r="BU25" s="28"/>
      <c r="BV25" s="38">
        <v>3125</v>
      </c>
      <c r="BW25" s="38">
        <v>56.789000000000001</v>
      </c>
      <c r="BX25" s="28"/>
      <c r="BY25" s="52">
        <v>3220</v>
      </c>
      <c r="BZ25" s="53">
        <v>56.984999999999999</v>
      </c>
      <c r="CA25" s="28"/>
      <c r="CB25" s="38">
        <v>3391</v>
      </c>
      <c r="CC25" s="38">
        <v>57.954000000000001</v>
      </c>
      <c r="CD25" s="28"/>
      <c r="CE25" s="53">
        <v>3290</v>
      </c>
      <c r="CF25" s="53">
        <v>53.429000000000002</v>
      </c>
      <c r="CG25" s="28"/>
      <c r="CH25" s="28"/>
      <c r="CI25" s="28"/>
      <c r="CJ25" s="28"/>
      <c r="CK25" s="38">
        <v>2890</v>
      </c>
      <c r="CL25" s="38">
        <v>59.232999999999997</v>
      </c>
      <c r="CM25" s="28"/>
      <c r="CN25" s="38">
        <v>3381</v>
      </c>
      <c r="CO25" s="38">
        <v>59.868000000000002</v>
      </c>
      <c r="CP25" s="28"/>
      <c r="CQ25" s="38">
        <v>2173</v>
      </c>
      <c r="CR25" s="38">
        <v>59.673000000000002</v>
      </c>
      <c r="CS25" s="28"/>
      <c r="CT25" s="38">
        <v>2729</v>
      </c>
      <c r="CU25" s="38">
        <v>59.677999999999997</v>
      </c>
      <c r="CV25" s="28"/>
      <c r="CW25" s="38">
        <v>2965</v>
      </c>
      <c r="CX25" s="38">
        <v>59.203000000000003</v>
      </c>
      <c r="CY25" s="28"/>
      <c r="CZ25" s="38">
        <v>3222</v>
      </c>
      <c r="DA25" s="38">
        <v>57.122999999999998</v>
      </c>
      <c r="DB25" s="28"/>
      <c r="DC25" s="38">
        <v>3055</v>
      </c>
      <c r="DD25" s="38">
        <v>59.366999999999997</v>
      </c>
      <c r="DE25" s="28"/>
      <c r="DF25" s="38">
        <v>3327</v>
      </c>
      <c r="DG25" s="38">
        <v>52.841999999999999</v>
      </c>
      <c r="DH25" s="28"/>
      <c r="DI25" s="6">
        <v>3017</v>
      </c>
      <c r="DJ25" s="6">
        <v>59.505000000000003</v>
      </c>
      <c r="DK25" s="28"/>
      <c r="DL25" s="6">
        <v>3006</v>
      </c>
      <c r="DM25" s="6">
        <v>68.515000000000001</v>
      </c>
      <c r="DN25" s="28"/>
      <c r="DO25" s="6">
        <v>3055</v>
      </c>
      <c r="DP25" s="6">
        <v>62.415999999999997</v>
      </c>
    </row>
    <row r="26" spans="1:120" x14ac:dyDescent="0.35">
      <c r="A26" s="19" t="s">
        <v>54</v>
      </c>
      <c r="B26" s="39">
        <f t="shared" si="0"/>
        <v>2749</v>
      </c>
      <c r="C26" s="39">
        <v>55.89</v>
      </c>
      <c r="E26" s="25">
        <v>2845</v>
      </c>
      <c r="F26" s="25">
        <v>54.26</v>
      </c>
      <c r="H26" s="25">
        <v>2977</v>
      </c>
      <c r="I26" s="25">
        <v>57.286999999999999</v>
      </c>
      <c r="M26" s="19" t="s">
        <v>54</v>
      </c>
      <c r="N26" s="9">
        <v>3272</v>
      </c>
      <c r="O26" s="9">
        <v>56.11</v>
      </c>
      <c r="Q26" s="21">
        <v>3422</v>
      </c>
      <c r="R26" s="25">
        <v>55.225999999999999</v>
      </c>
      <c r="AJ26" s="28"/>
      <c r="AK26" s="28"/>
      <c r="AL26" s="28"/>
      <c r="AM26" s="28"/>
      <c r="AN26" s="28"/>
      <c r="AO26" s="28"/>
      <c r="AP26" s="28"/>
      <c r="AQ26" s="28"/>
      <c r="AR26" s="6">
        <v>3893</v>
      </c>
      <c r="AS26" s="6">
        <v>53.817999999999998</v>
      </c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38">
        <v>3447</v>
      </c>
      <c r="BH26" s="38">
        <v>58.978999999999999</v>
      </c>
      <c r="BI26" s="28"/>
      <c r="BJ26" s="28"/>
      <c r="BK26" s="28"/>
      <c r="BL26" s="28"/>
      <c r="BM26" s="28"/>
      <c r="BN26" s="28"/>
      <c r="BO26" s="28"/>
      <c r="BP26" s="38">
        <v>3014</v>
      </c>
      <c r="BQ26" s="38">
        <v>55.415999999999997</v>
      </c>
      <c r="BR26" s="28"/>
      <c r="BS26" s="38">
        <v>2844</v>
      </c>
      <c r="BT26" s="38">
        <v>56.442999999999998</v>
      </c>
      <c r="BU26" s="28"/>
      <c r="BV26" s="38">
        <v>3215</v>
      </c>
      <c r="BW26" s="38">
        <v>56.204000000000001</v>
      </c>
      <c r="BX26" s="28"/>
      <c r="BY26" s="52">
        <v>3330</v>
      </c>
      <c r="BZ26" s="53">
        <v>56.93</v>
      </c>
      <c r="CA26" s="28"/>
      <c r="CB26" s="38">
        <v>3491</v>
      </c>
      <c r="CC26" s="38">
        <v>58.628999999999998</v>
      </c>
      <c r="CD26" s="28"/>
      <c r="CE26" s="53">
        <v>3459</v>
      </c>
      <c r="CF26" s="53">
        <v>55.984000000000002</v>
      </c>
      <c r="CG26" s="28"/>
      <c r="CH26" s="28"/>
      <c r="CI26" s="28"/>
      <c r="CJ26" s="28"/>
      <c r="CK26" s="38">
        <v>3101</v>
      </c>
      <c r="CL26" s="38">
        <v>58.765000000000001</v>
      </c>
      <c r="CM26" s="28"/>
      <c r="CN26" s="38">
        <v>3609</v>
      </c>
      <c r="CO26" s="38">
        <v>59.710999999999999</v>
      </c>
      <c r="CP26" s="28"/>
      <c r="CQ26" s="38">
        <v>2463</v>
      </c>
      <c r="CR26" s="38">
        <v>60.892000000000003</v>
      </c>
      <c r="CS26" s="28"/>
      <c r="CT26" s="38">
        <v>2971</v>
      </c>
      <c r="CU26" s="38">
        <v>60.871000000000002</v>
      </c>
      <c r="CV26" s="28"/>
      <c r="CW26" s="38">
        <v>3072</v>
      </c>
      <c r="CX26" s="38">
        <v>59.366999999999997</v>
      </c>
      <c r="CY26" s="28"/>
      <c r="CZ26" s="38">
        <v>3500</v>
      </c>
      <c r="DA26" s="38">
        <v>59.203000000000003</v>
      </c>
      <c r="DB26" s="28"/>
      <c r="DC26" s="38">
        <v>3196</v>
      </c>
      <c r="DD26" s="38">
        <v>59.664999999999999</v>
      </c>
      <c r="DE26" s="28"/>
      <c r="DF26" s="38">
        <v>3382</v>
      </c>
      <c r="DG26" s="38">
        <v>53.148000000000003</v>
      </c>
      <c r="DH26" s="28"/>
      <c r="DI26" s="6">
        <v>3358</v>
      </c>
      <c r="DJ26" s="6">
        <v>60.579000000000001</v>
      </c>
      <c r="DK26" s="28"/>
      <c r="DL26" s="6">
        <v>3116</v>
      </c>
      <c r="DM26" s="6">
        <v>68.728999999999999</v>
      </c>
      <c r="DN26" s="28"/>
      <c r="DO26" s="6">
        <v>3153</v>
      </c>
      <c r="DP26" s="6">
        <v>61.542999999999999</v>
      </c>
    </row>
    <row r="27" spans="1:120" x14ac:dyDescent="0.35">
      <c r="B27" s="28"/>
      <c r="E27" s="25">
        <v>2946</v>
      </c>
      <c r="F27" s="25">
        <v>54.558999999999997</v>
      </c>
      <c r="H27" s="25">
        <v>3211</v>
      </c>
      <c r="I27" s="25">
        <v>57.128</v>
      </c>
      <c r="Q27" s="21">
        <v>3561</v>
      </c>
      <c r="R27" s="25">
        <v>54.966000000000001</v>
      </c>
      <c r="AJ27" s="28"/>
      <c r="AK27" s="28"/>
      <c r="AL27" s="28"/>
      <c r="AM27" s="28"/>
      <c r="AN27" s="28"/>
      <c r="AO27" s="28"/>
      <c r="AP27" s="28"/>
      <c r="AQ27" s="28"/>
      <c r="AR27" s="6">
        <v>4091</v>
      </c>
      <c r="AS27" s="6">
        <v>55.569000000000003</v>
      </c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13" t="s">
        <v>54</v>
      </c>
      <c r="BG27" s="15">
        <v>3654</v>
      </c>
      <c r="BH27" s="15">
        <v>55.89</v>
      </c>
      <c r="BI27" s="28"/>
      <c r="BJ27" s="28"/>
      <c r="BK27" s="28"/>
      <c r="BL27" s="28"/>
      <c r="BM27" s="28"/>
      <c r="BN27" s="28"/>
      <c r="BO27" s="28"/>
      <c r="BP27" s="38">
        <v>3137</v>
      </c>
      <c r="BQ27" s="38">
        <v>55.942</v>
      </c>
      <c r="BR27" s="28"/>
      <c r="BS27" s="38">
        <v>2949</v>
      </c>
      <c r="BT27" s="38">
        <v>56.412999999999997</v>
      </c>
      <c r="BU27" s="28"/>
      <c r="BV27" s="38">
        <v>3442</v>
      </c>
      <c r="BW27" s="38">
        <v>55.887999999999998</v>
      </c>
      <c r="BX27" s="28"/>
      <c r="BY27" s="52">
        <v>3430</v>
      </c>
      <c r="BZ27" s="53">
        <v>57.494999999999997</v>
      </c>
      <c r="CA27" s="28"/>
      <c r="CB27" s="38">
        <v>3613</v>
      </c>
      <c r="CC27" s="38">
        <v>57.412999999999997</v>
      </c>
      <c r="CD27" s="13" t="s">
        <v>54</v>
      </c>
      <c r="CE27" s="15">
        <v>3963</v>
      </c>
      <c r="CF27" s="15">
        <v>55.89</v>
      </c>
      <c r="CG27" s="28"/>
      <c r="CH27" s="28"/>
      <c r="CI27" s="28"/>
      <c r="CJ27" s="28"/>
      <c r="CK27" s="38">
        <v>3248</v>
      </c>
      <c r="CL27" s="38">
        <v>57.646999999999998</v>
      </c>
      <c r="CM27" s="28"/>
      <c r="CN27" s="38">
        <v>3738</v>
      </c>
      <c r="CO27" s="38">
        <v>58.874000000000002</v>
      </c>
      <c r="CP27" s="28"/>
      <c r="CQ27" s="38">
        <v>2706</v>
      </c>
      <c r="CR27" s="38">
        <v>60.610999999999997</v>
      </c>
      <c r="CS27" s="28"/>
      <c r="CT27" s="38">
        <v>3250</v>
      </c>
      <c r="CU27" s="38">
        <v>60.610999999999997</v>
      </c>
      <c r="CV27" s="28"/>
      <c r="CW27" s="38">
        <v>3312</v>
      </c>
      <c r="CX27" s="38">
        <v>58.95</v>
      </c>
      <c r="CY27" s="28"/>
      <c r="CZ27" s="38">
        <v>3599</v>
      </c>
      <c r="DA27" s="38">
        <v>59.366999999999997</v>
      </c>
      <c r="DB27" s="28"/>
      <c r="DC27" s="38">
        <v>3348</v>
      </c>
      <c r="DD27" s="38">
        <v>59.673000000000002</v>
      </c>
      <c r="DE27" s="28"/>
      <c r="DF27" s="38">
        <v>3512</v>
      </c>
      <c r="DG27" s="38">
        <v>56.59</v>
      </c>
      <c r="DH27" s="28"/>
      <c r="DI27" s="6">
        <v>3674</v>
      </c>
      <c r="DJ27" s="6">
        <v>58.55</v>
      </c>
      <c r="DK27" s="28"/>
      <c r="DL27" s="6">
        <v>3324</v>
      </c>
      <c r="DM27" s="6">
        <v>68.567999999999998</v>
      </c>
      <c r="DN27" s="28"/>
      <c r="DO27" s="6">
        <v>3274</v>
      </c>
      <c r="DP27" s="6">
        <v>62.19</v>
      </c>
    </row>
    <row r="28" spans="1:120" x14ac:dyDescent="0.35">
      <c r="B28" s="28"/>
      <c r="E28" s="25">
        <v>3051</v>
      </c>
      <c r="F28" s="25">
        <v>54.401000000000003</v>
      </c>
      <c r="H28" s="25">
        <v>3340</v>
      </c>
      <c r="I28" s="25">
        <v>55.850999999999999</v>
      </c>
      <c r="Q28" s="21">
        <v>3668</v>
      </c>
      <c r="R28" s="25">
        <v>55.9</v>
      </c>
      <c r="AJ28" s="28"/>
      <c r="AK28" s="28"/>
      <c r="AL28" s="28"/>
      <c r="AM28" s="28"/>
      <c r="AN28" s="28"/>
      <c r="AO28" s="28"/>
      <c r="AP28" s="28"/>
      <c r="AQ28" s="28"/>
      <c r="AR28" s="6">
        <v>4186</v>
      </c>
      <c r="AS28" s="6">
        <v>56.9</v>
      </c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19" t="s">
        <v>54</v>
      </c>
      <c r="BP28" s="9">
        <v>3501</v>
      </c>
      <c r="BQ28" s="9">
        <v>55.89</v>
      </c>
      <c r="BR28" s="28"/>
      <c r="BS28" s="38">
        <v>3047</v>
      </c>
      <c r="BT28" s="38">
        <v>57.869</v>
      </c>
      <c r="BU28" s="28"/>
      <c r="BV28" s="38">
        <v>3548</v>
      </c>
      <c r="BW28" s="38">
        <v>56.723999999999997</v>
      </c>
      <c r="BX28" s="28"/>
      <c r="BY28" s="52">
        <v>3535</v>
      </c>
      <c r="BZ28" s="53">
        <v>57.78</v>
      </c>
      <c r="CA28" s="28"/>
      <c r="CB28" s="38">
        <v>3734</v>
      </c>
      <c r="CC28" s="38">
        <v>55.540999999999997</v>
      </c>
      <c r="CD28" s="28"/>
      <c r="CE28" s="28"/>
      <c r="CF28" s="28"/>
      <c r="CG28" s="28"/>
      <c r="CH28" s="28"/>
      <c r="CI28" s="28"/>
      <c r="CJ28" s="28"/>
      <c r="CK28" s="38">
        <v>3328</v>
      </c>
      <c r="CL28" s="38">
        <v>56.332000000000001</v>
      </c>
      <c r="CM28" s="28"/>
      <c r="CN28" s="38">
        <v>3873</v>
      </c>
      <c r="CO28" s="38">
        <v>58.268999999999998</v>
      </c>
      <c r="CP28" s="28"/>
      <c r="CQ28" s="38">
        <v>2765</v>
      </c>
      <c r="CR28" s="38">
        <v>60.279000000000003</v>
      </c>
      <c r="CS28" s="28"/>
      <c r="CT28" s="38">
        <v>3315</v>
      </c>
      <c r="CU28" s="38">
        <v>60.279000000000003</v>
      </c>
      <c r="CV28" s="28"/>
      <c r="CW28" s="38">
        <v>3605</v>
      </c>
      <c r="CX28" s="38">
        <v>60.607999999999997</v>
      </c>
      <c r="CY28" s="28"/>
      <c r="CZ28" s="38">
        <v>3744</v>
      </c>
      <c r="DA28" s="38">
        <v>59.664999999999999</v>
      </c>
      <c r="DB28" s="28"/>
      <c r="DC28" s="38">
        <v>3641</v>
      </c>
      <c r="DD28" s="38">
        <v>60.892000000000003</v>
      </c>
      <c r="DE28" s="28"/>
      <c r="DF28" s="38">
        <v>3660</v>
      </c>
      <c r="DG28" s="38">
        <v>57.279000000000003</v>
      </c>
      <c r="DH28" s="28"/>
      <c r="DI28" s="6">
        <v>3873</v>
      </c>
      <c r="DJ28" s="6">
        <v>58.567</v>
      </c>
      <c r="DK28" s="28"/>
      <c r="DL28" s="6">
        <v>3464</v>
      </c>
      <c r="DM28" s="6">
        <v>67.302999999999997</v>
      </c>
      <c r="DN28" s="28"/>
      <c r="DO28" s="6">
        <v>3528</v>
      </c>
      <c r="DP28" s="6">
        <v>62.22</v>
      </c>
    </row>
    <row r="29" spans="1:120" x14ac:dyDescent="0.35">
      <c r="B29" s="28"/>
      <c r="E29" s="25">
        <v>3283</v>
      </c>
      <c r="F29" s="25">
        <v>54.83</v>
      </c>
      <c r="H29" s="25">
        <v>3434</v>
      </c>
      <c r="I29" s="25">
        <v>54.51</v>
      </c>
      <c r="Q29" s="21">
        <v>3729</v>
      </c>
      <c r="R29" s="25">
        <v>55.24</v>
      </c>
      <c r="AJ29" s="28"/>
      <c r="AK29" s="28"/>
      <c r="AL29" s="28"/>
      <c r="AM29" s="28"/>
      <c r="AN29" s="28"/>
      <c r="AO29" s="28"/>
      <c r="AP29" s="28"/>
      <c r="AQ29" s="19" t="s">
        <v>54</v>
      </c>
      <c r="AR29" s="9">
        <v>4616</v>
      </c>
      <c r="AS29" s="9">
        <v>55.89</v>
      </c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  <c r="BR29" s="28"/>
      <c r="BS29" s="38">
        <v>3145</v>
      </c>
      <c r="BT29" s="38">
        <v>58.322000000000003</v>
      </c>
      <c r="BU29" s="28"/>
      <c r="BV29" s="38">
        <v>3657</v>
      </c>
      <c r="BW29" s="38">
        <v>56.534999999999997</v>
      </c>
      <c r="BX29" s="28"/>
      <c r="BY29" s="52">
        <v>3634</v>
      </c>
      <c r="BZ29" s="53">
        <v>57.061999999999998</v>
      </c>
      <c r="CA29" s="28"/>
      <c r="CB29" s="38">
        <v>3836</v>
      </c>
      <c r="CC29" s="38">
        <v>56.901000000000003</v>
      </c>
      <c r="CD29" s="28"/>
      <c r="CE29" s="28"/>
      <c r="CF29" s="28"/>
      <c r="CG29" s="28"/>
      <c r="CH29" s="28"/>
      <c r="CI29" s="28"/>
      <c r="CJ29" s="28"/>
      <c r="CK29" s="38">
        <v>3479</v>
      </c>
      <c r="CL29" s="38">
        <v>58.344000000000001</v>
      </c>
      <c r="CM29" s="28"/>
      <c r="CN29" s="38">
        <v>4004</v>
      </c>
      <c r="CO29" s="38">
        <v>58.024999999999999</v>
      </c>
      <c r="CP29" s="28"/>
      <c r="CQ29" s="38">
        <v>2904</v>
      </c>
      <c r="CR29" s="38">
        <v>61.262999999999998</v>
      </c>
      <c r="CS29" s="28"/>
      <c r="CT29" s="38">
        <v>3569</v>
      </c>
      <c r="CU29" s="38">
        <v>61.42</v>
      </c>
      <c r="CV29" s="28"/>
      <c r="CW29" s="38">
        <v>3897</v>
      </c>
      <c r="CX29" s="38">
        <v>60.610999999999997</v>
      </c>
      <c r="CY29" s="28"/>
      <c r="CZ29" s="38">
        <v>3910</v>
      </c>
      <c r="DA29" s="38">
        <v>59.673000000000002</v>
      </c>
      <c r="DB29" s="28"/>
      <c r="DC29" s="38">
        <v>3754</v>
      </c>
      <c r="DD29" s="38">
        <v>62.057000000000002</v>
      </c>
      <c r="DE29" s="28"/>
      <c r="DF29" s="38">
        <v>3845</v>
      </c>
      <c r="DG29" s="38">
        <v>58.078000000000003</v>
      </c>
      <c r="DH29" s="28"/>
      <c r="DI29" s="6">
        <v>4010</v>
      </c>
      <c r="DJ29" s="6">
        <v>57.598999999999997</v>
      </c>
      <c r="DK29" s="28"/>
      <c r="DL29" s="6">
        <v>3562</v>
      </c>
      <c r="DM29" s="6">
        <v>67.147000000000006</v>
      </c>
      <c r="DN29" s="28"/>
      <c r="DO29" s="6">
        <v>3646</v>
      </c>
      <c r="DP29" s="6">
        <v>61.405000000000001</v>
      </c>
    </row>
    <row r="30" spans="1:120" x14ac:dyDescent="0.35">
      <c r="B30" s="28"/>
      <c r="E30" s="25">
        <v>3424</v>
      </c>
      <c r="F30" s="25">
        <v>55.3</v>
      </c>
      <c r="H30" s="25">
        <v>3646</v>
      </c>
      <c r="I30" s="25">
        <v>55.628999999999998</v>
      </c>
      <c r="Q30" s="21">
        <v>3948</v>
      </c>
      <c r="R30" s="25">
        <v>54.84</v>
      </c>
      <c r="BR30" s="28"/>
      <c r="BS30" s="38">
        <v>3349</v>
      </c>
      <c r="BT30" s="38">
        <v>55.953000000000003</v>
      </c>
      <c r="BU30" s="28"/>
      <c r="BV30" s="38">
        <v>3757</v>
      </c>
      <c r="BW30" s="38">
        <v>57.247</v>
      </c>
      <c r="BX30" s="28"/>
      <c r="BY30" s="52">
        <v>3740</v>
      </c>
      <c r="BZ30" s="53">
        <v>55.7</v>
      </c>
      <c r="CA30" s="28"/>
      <c r="CB30" s="38">
        <v>3880</v>
      </c>
      <c r="CC30" s="38">
        <v>54.393000000000001</v>
      </c>
      <c r="CD30" s="28"/>
      <c r="CE30" s="28"/>
      <c r="CF30" s="28"/>
      <c r="CG30" s="28"/>
      <c r="CH30" s="28"/>
      <c r="CI30" s="28"/>
      <c r="CJ30" s="28"/>
      <c r="CK30" s="38">
        <v>3676</v>
      </c>
      <c r="CL30" s="38">
        <v>54.594999999999999</v>
      </c>
      <c r="CM30" s="28"/>
      <c r="CN30" s="38">
        <v>4253</v>
      </c>
      <c r="CO30" s="38">
        <v>56.332000000000001</v>
      </c>
      <c r="CP30" s="28"/>
      <c r="CQ30" s="38">
        <v>3020</v>
      </c>
      <c r="CR30" s="38">
        <v>61.42</v>
      </c>
      <c r="CS30" s="28"/>
      <c r="CT30" s="38">
        <v>3810</v>
      </c>
      <c r="CU30" s="38">
        <v>61.9</v>
      </c>
      <c r="CV30" s="28"/>
      <c r="CW30" s="38">
        <v>4097</v>
      </c>
      <c r="CX30" s="38">
        <v>61.262999999999998</v>
      </c>
      <c r="CY30" s="28"/>
      <c r="CZ30" s="38">
        <v>4143</v>
      </c>
      <c r="DA30" s="38">
        <v>60.607999999999997</v>
      </c>
      <c r="DB30" s="28"/>
      <c r="DC30" s="38">
        <v>3880</v>
      </c>
      <c r="DD30" s="38">
        <v>60.610999999999997</v>
      </c>
      <c r="DE30" s="28"/>
      <c r="DF30" s="38">
        <v>4053</v>
      </c>
      <c r="DG30" s="38">
        <v>57.951000000000001</v>
      </c>
      <c r="DH30" s="28"/>
      <c r="DI30" s="6">
        <v>4105</v>
      </c>
      <c r="DJ30" s="6">
        <v>54.706000000000003</v>
      </c>
      <c r="DK30" s="28"/>
      <c r="DL30" s="6">
        <v>3653</v>
      </c>
      <c r="DM30" s="6">
        <v>66.984999999999999</v>
      </c>
      <c r="DN30" s="28"/>
      <c r="DO30" s="6">
        <v>3751</v>
      </c>
      <c r="DP30" s="6">
        <v>61.823999999999998</v>
      </c>
    </row>
    <row r="31" spans="1:120" x14ac:dyDescent="0.35">
      <c r="B31" s="28"/>
      <c r="E31" s="25">
        <v>3555</v>
      </c>
      <c r="F31" s="25">
        <v>54.036999999999999</v>
      </c>
      <c r="H31" s="25">
        <v>3851</v>
      </c>
      <c r="I31" s="25">
        <v>54.97</v>
      </c>
      <c r="P31" s="13" t="s">
        <v>54</v>
      </c>
      <c r="Q31" s="27">
        <v>4082</v>
      </c>
      <c r="R31" s="15">
        <v>56.11</v>
      </c>
      <c r="BR31" s="28"/>
      <c r="BS31" s="38">
        <v>3488</v>
      </c>
      <c r="BT31" s="38">
        <v>56.262</v>
      </c>
      <c r="BU31" s="28"/>
      <c r="BV31" s="38">
        <v>3964</v>
      </c>
      <c r="BW31" s="38">
        <v>57.011000000000003</v>
      </c>
      <c r="BX31" s="28"/>
      <c r="BY31" s="52">
        <v>4089</v>
      </c>
      <c r="BZ31" s="53">
        <v>58.424999999999997</v>
      </c>
      <c r="CA31" s="28"/>
      <c r="CB31" s="38">
        <v>3950</v>
      </c>
      <c r="CC31" s="38">
        <v>54.643999999999998</v>
      </c>
      <c r="CD31" s="28"/>
      <c r="CE31" s="28"/>
      <c r="CF31" s="28"/>
      <c r="CG31" s="28"/>
      <c r="CH31" s="28"/>
      <c r="CI31" s="28"/>
      <c r="CJ31" s="28"/>
      <c r="CK31" s="38">
        <v>3807</v>
      </c>
      <c r="CL31" s="38">
        <v>56.499000000000002</v>
      </c>
      <c r="CM31" s="28"/>
      <c r="CN31" s="38">
        <v>4372</v>
      </c>
      <c r="CO31" s="38">
        <v>57.148000000000003</v>
      </c>
      <c r="CP31" s="28"/>
      <c r="CQ31" s="38">
        <v>3263</v>
      </c>
      <c r="CR31" s="38">
        <v>61.9</v>
      </c>
      <c r="CS31" s="28"/>
      <c r="CT31" s="38">
        <v>3955</v>
      </c>
      <c r="CU31" s="38">
        <v>62.31</v>
      </c>
      <c r="CV31" s="28"/>
      <c r="CW31" s="38">
        <v>4219</v>
      </c>
      <c r="CX31" s="38">
        <v>62.427999999999997</v>
      </c>
      <c r="CY31" s="28"/>
      <c r="CZ31" s="38">
        <v>4326</v>
      </c>
      <c r="DA31" s="38">
        <v>62.057000000000002</v>
      </c>
      <c r="DB31" s="28"/>
      <c r="DC31" s="38">
        <v>4064</v>
      </c>
      <c r="DD31" s="38">
        <v>61.262999999999998</v>
      </c>
      <c r="DE31" s="28"/>
      <c r="DF31" s="38">
        <v>4390</v>
      </c>
      <c r="DG31" s="38">
        <v>59.841000000000001</v>
      </c>
      <c r="DH31" s="28"/>
      <c r="DI31" s="6">
        <v>4260</v>
      </c>
      <c r="DJ31" s="6">
        <v>54.686999999999998</v>
      </c>
      <c r="DK31" s="28"/>
      <c r="DL31" s="6">
        <v>3744</v>
      </c>
      <c r="DM31" s="6">
        <v>65.325999999999993</v>
      </c>
      <c r="DN31" s="28"/>
      <c r="DO31" s="6">
        <v>3944</v>
      </c>
      <c r="DP31" s="6">
        <v>60.691000000000003</v>
      </c>
    </row>
    <row r="32" spans="1:120" x14ac:dyDescent="0.35">
      <c r="D32" s="13" t="s">
        <v>54</v>
      </c>
      <c r="E32" s="15">
        <v>3661</v>
      </c>
      <c r="F32" s="15">
        <v>56.11</v>
      </c>
      <c r="H32" s="25">
        <v>4066</v>
      </c>
      <c r="I32" s="25">
        <v>55.9</v>
      </c>
      <c r="BR32" s="28"/>
      <c r="BS32" s="38">
        <v>3618</v>
      </c>
      <c r="BT32" s="38">
        <v>55.295999999999999</v>
      </c>
      <c r="BU32" s="28"/>
      <c r="BV32" s="38">
        <v>4196</v>
      </c>
      <c r="BW32" s="38">
        <v>57.512</v>
      </c>
      <c r="BX32" s="28"/>
      <c r="BY32" s="52">
        <v>4356</v>
      </c>
      <c r="BZ32" s="53">
        <v>54.393000000000001</v>
      </c>
      <c r="CA32" s="28"/>
      <c r="CB32" s="38">
        <v>4052</v>
      </c>
      <c r="CC32" s="38">
        <v>55.415999999999997</v>
      </c>
      <c r="CD32" s="28"/>
      <c r="CE32" s="28"/>
      <c r="CF32" s="28"/>
      <c r="CG32" s="28"/>
      <c r="CH32" s="28"/>
      <c r="CI32" s="28"/>
      <c r="CJ32" s="13" t="s">
        <v>54</v>
      </c>
      <c r="CK32" s="15">
        <v>4092</v>
      </c>
      <c r="CL32" s="15">
        <v>55.89</v>
      </c>
      <c r="CM32" s="28"/>
      <c r="CN32" s="38">
        <v>4469</v>
      </c>
      <c r="CO32" s="38">
        <v>54.393000000000001</v>
      </c>
      <c r="CP32" s="28"/>
      <c r="CQ32" s="38">
        <v>3418</v>
      </c>
      <c r="CR32" s="38">
        <v>62.31</v>
      </c>
      <c r="CS32" s="28"/>
      <c r="CT32" s="38">
        <v>4287</v>
      </c>
      <c r="CU32" s="38">
        <v>59.868000000000002</v>
      </c>
      <c r="CV32" s="28"/>
      <c r="CW32" s="38">
        <v>4348</v>
      </c>
      <c r="CX32" s="38">
        <v>61.9</v>
      </c>
      <c r="CY32" s="28"/>
      <c r="CZ32" s="38">
        <v>4465</v>
      </c>
      <c r="DA32" s="38">
        <v>60.610999999999997</v>
      </c>
      <c r="DB32" s="28"/>
      <c r="DC32" s="38">
        <v>4190</v>
      </c>
      <c r="DD32" s="38">
        <v>61.42</v>
      </c>
      <c r="DE32" s="28"/>
      <c r="DF32" s="38">
        <v>4949</v>
      </c>
      <c r="DG32" s="38">
        <v>60.892000000000003</v>
      </c>
      <c r="DH32" s="28"/>
      <c r="DI32" s="6">
        <v>4505</v>
      </c>
      <c r="DJ32" s="6">
        <v>57.468000000000004</v>
      </c>
      <c r="DK32" s="28"/>
      <c r="DL32" s="6">
        <v>4072</v>
      </c>
      <c r="DM32" s="6">
        <v>65.268000000000001</v>
      </c>
      <c r="DN32" s="28"/>
      <c r="DO32" s="6">
        <v>4196</v>
      </c>
      <c r="DP32" s="6">
        <v>60.075000000000003</v>
      </c>
    </row>
    <row r="33" spans="7:120" x14ac:dyDescent="0.35">
      <c r="H33" s="25">
        <v>4227</v>
      </c>
      <c r="I33" s="25">
        <v>54.036999999999999</v>
      </c>
      <c r="BR33" s="28"/>
      <c r="BS33" s="38">
        <v>3711</v>
      </c>
      <c r="BT33" s="38">
        <v>54.951999999999998</v>
      </c>
      <c r="BU33" s="28"/>
      <c r="BV33" s="38">
        <v>4382</v>
      </c>
      <c r="BW33" s="38">
        <v>55.957999999999998</v>
      </c>
      <c r="BX33" s="28"/>
      <c r="BY33" s="52">
        <v>4495</v>
      </c>
      <c r="BZ33" s="53">
        <v>54.594999999999999</v>
      </c>
      <c r="CA33" s="28"/>
      <c r="CB33" s="38">
        <v>4189</v>
      </c>
      <c r="CC33" s="38">
        <v>55.942</v>
      </c>
      <c r="CD33" s="28"/>
      <c r="CE33" s="28"/>
      <c r="CF33" s="28"/>
      <c r="CG33" s="28"/>
      <c r="CH33" s="28"/>
      <c r="CI33" s="28"/>
      <c r="CJ33" s="28"/>
      <c r="CK33" s="28"/>
      <c r="CL33" s="28"/>
      <c r="CM33" s="28"/>
      <c r="CN33" s="38">
        <v>4604</v>
      </c>
      <c r="CO33" s="38">
        <v>54.594999999999999</v>
      </c>
      <c r="CP33" s="28"/>
      <c r="CQ33" s="38">
        <v>3715</v>
      </c>
      <c r="CR33" s="38">
        <v>61.761000000000003</v>
      </c>
      <c r="CS33" s="28"/>
      <c r="CT33" s="38">
        <v>4410</v>
      </c>
      <c r="CU33" s="38">
        <v>60.296999999999997</v>
      </c>
      <c r="CV33" s="28"/>
      <c r="CW33" s="38">
        <v>4516</v>
      </c>
      <c r="CX33" s="38">
        <v>62.31</v>
      </c>
      <c r="CY33" s="28"/>
      <c r="CZ33" s="38">
        <v>4662</v>
      </c>
      <c r="DA33" s="38">
        <v>61.262999999999998</v>
      </c>
      <c r="DB33" s="28"/>
      <c r="DC33" s="38">
        <v>4604</v>
      </c>
      <c r="DD33" s="38">
        <v>62.31</v>
      </c>
      <c r="DE33" s="28"/>
      <c r="DF33" s="38">
        <v>5068</v>
      </c>
      <c r="DG33" s="38">
        <v>62.057000000000002</v>
      </c>
      <c r="DH33" s="28"/>
      <c r="DI33" s="6">
        <v>4637</v>
      </c>
      <c r="DJ33" s="6">
        <v>54.432000000000002</v>
      </c>
      <c r="DK33" s="28"/>
      <c r="DL33" s="6">
        <v>4167</v>
      </c>
      <c r="DM33" s="6">
        <v>64.481999999999999</v>
      </c>
      <c r="DN33" s="28"/>
      <c r="DO33" s="6">
        <v>4521</v>
      </c>
      <c r="DP33" s="6">
        <v>61.415999999999997</v>
      </c>
    </row>
    <row r="34" spans="7:120" x14ac:dyDescent="0.35">
      <c r="G34" s="19" t="s">
        <v>54</v>
      </c>
      <c r="H34" s="9">
        <v>4333</v>
      </c>
      <c r="I34" s="9">
        <v>56.11</v>
      </c>
      <c r="BR34" s="28"/>
      <c r="BS34" s="38">
        <v>3810</v>
      </c>
      <c r="BT34" s="38">
        <v>55.137999999999998</v>
      </c>
      <c r="BU34" s="28"/>
      <c r="BV34" s="38">
        <v>4489</v>
      </c>
      <c r="BW34" s="38">
        <v>55.170999999999999</v>
      </c>
      <c r="BX34" s="13" t="s">
        <v>54</v>
      </c>
      <c r="BY34" s="27">
        <v>4913</v>
      </c>
      <c r="BZ34" s="15">
        <v>55.89</v>
      </c>
      <c r="CA34" s="19" t="s">
        <v>54</v>
      </c>
      <c r="CB34" s="9">
        <v>4496</v>
      </c>
      <c r="CC34" s="9">
        <v>55.89</v>
      </c>
      <c r="CD34" s="28"/>
      <c r="CE34" s="28"/>
      <c r="CF34" s="28"/>
      <c r="CG34" s="28"/>
      <c r="CH34" s="28"/>
      <c r="CI34" s="28"/>
      <c r="CJ34" s="28"/>
      <c r="CK34" s="28"/>
      <c r="CL34" s="28"/>
      <c r="CM34" s="28"/>
      <c r="CN34" s="38">
        <v>4820</v>
      </c>
      <c r="CO34" s="38">
        <v>57.075000000000003</v>
      </c>
      <c r="CP34" s="28"/>
      <c r="CQ34" s="38">
        <v>3861</v>
      </c>
      <c r="CR34" s="38">
        <v>60.296999999999997</v>
      </c>
      <c r="CS34" s="28"/>
      <c r="CT34" s="38">
        <v>4515</v>
      </c>
      <c r="CU34" s="38">
        <v>59.710999999999999</v>
      </c>
      <c r="CV34" s="28"/>
      <c r="CW34" s="38">
        <v>4832</v>
      </c>
      <c r="CX34" s="38">
        <v>61.761000000000003</v>
      </c>
      <c r="CY34" s="28"/>
      <c r="CZ34" s="38">
        <v>5005</v>
      </c>
      <c r="DA34" s="38">
        <v>61.83</v>
      </c>
      <c r="DB34" s="28"/>
      <c r="DC34" s="38">
        <v>4881</v>
      </c>
      <c r="DD34" s="38">
        <v>61.761000000000003</v>
      </c>
      <c r="DE34" s="28"/>
      <c r="DF34" s="38">
        <v>5227</v>
      </c>
      <c r="DG34" s="38">
        <v>60.610999999999997</v>
      </c>
      <c r="DH34" s="28"/>
      <c r="DI34" s="6">
        <v>4856</v>
      </c>
      <c r="DJ34" s="6">
        <v>57.491</v>
      </c>
      <c r="DK34" s="28"/>
      <c r="DL34" s="6">
        <v>4281</v>
      </c>
      <c r="DM34" s="6">
        <v>54.264000000000003</v>
      </c>
      <c r="DN34" s="28"/>
      <c r="DO34" s="6">
        <v>4624</v>
      </c>
      <c r="DP34" s="6">
        <v>60.52</v>
      </c>
    </row>
    <row r="35" spans="7:120" x14ac:dyDescent="0.35">
      <c r="BR35" s="28"/>
      <c r="BS35" s="38">
        <v>3932</v>
      </c>
      <c r="BT35" s="38">
        <v>56.545999999999999</v>
      </c>
      <c r="BU35" s="28"/>
      <c r="BV35" s="38">
        <v>4591</v>
      </c>
      <c r="BW35" s="38">
        <v>56.277999999999999</v>
      </c>
      <c r="BX35" s="28"/>
      <c r="BY35" s="28"/>
      <c r="BZ35" s="28"/>
      <c r="CJ35" s="28"/>
      <c r="CK35" s="28"/>
      <c r="CL35" s="28"/>
      <c r="CM35" s="19" t="s">
        <v>54</v>
      </c>
      <c r="CN35" s="9">
        <v>5029</v>
      </c>
      <c r="CO35" s="9">
        <v>55.89</v>
      </c>
      <c r="CP35" s="28"/>
      <c r="CQ35" s="38">
        <v>3964</v>
      </c>
      <c r="CR35" s="38">
        <v>60.420999999999999</v>
      </c>
      <c r="CS35" s="28"/>
      <c r="CT35" s="38">
        <v>4602</v>
      </c>
      <c r="CU35" s="38">
        <v>59.621000000000002</v>
      </c>
      <c r="CV35" s="28"/>
      <c r="CW35" s="38">
        <v>4951</v>
      </c>
      <c r="CX35" s="38">
        <v>60.904000000000003</v>
      </c>
      <c r="CY35" s="28"/>
      <c r="CZ35" s="38">
        <v>5379</v>
      </c>
      <c r="DA35" s="38">
        <v>62.295000000000002</v>
      </c>
      <c r="DB35" s="28"/>
      <c r="DC35" s="38">
        <v>4907</v>
      </c>
      <c r="DD35" s="38">
        <v>59.868000000000002</v>
      </c>
      <c r="DE35" s="28"/>
      <c r="DF35" s="38">
        <v>5284</v>
      </c>
      <c r="DG35" s="38">
        <v>60.279000000000003</v>
      </c>
      <c r="DH35" s="28"/>
      <c r="DI35" s="6">
        <v>5000</v>
      </c>
      <c r="DJ35" s="6">
        <v>57.594999999999999</v>
      </c>
      <c r="DK35" s="28"/>
      <c r="DL35" s="6">
        <v>4391</v>
      </c>
      <c r="DM35" s="6">
        <v>62.968000000000004</v>
      </c>
      <c r="DN35" s="28"/>
      <c r="DO35" s="6">
        <v>4863</v>
      </c>
      <c r="DP35" s="6">
        <v>61.045000000000002</v>
      </c>
    </row>
    <row r="36" spans="7:120" x14ac:dyDescent="0.35">
      <c r="BR36" s="28"/>
      <c r="BS36" s="38">
        <v>4153</v>
      </c>
      <c r="BT36" s="38">
        <v>58.978999999999999</v>
      </c>
      <c r="BU36" s="28"/>
      <c r="BV36" s="38">
        <v>4683</v>
      </c>
      <c r="BW36" s="38">
        <v>57.521999999999998</v>
      </c>
      <c r="BX36" s="28"/>
      <c r="BY36" s="28"/>
      <c r="BZ36" s="28"/>
      <c r="CJ36" s="28"/>
      <c r="CK36" s="28"/>
      <c r="CL36" s="28"/>
      <c r="CM36" s="28"/>
      <c r="CN36" s="28"/>
      <c r="CO36" s="28"/>
      <c r="CP36" s="28"/>
      <c r="CQ36" s="38">
        <v>4053</v>
      </c>
      <c r="CR36" s="38">
        <v>59.621000000000002</v>
      </c>
      <c r="CS36" s="28"/>
      <c r="CT36" s="38">
        <v>4686</v>
      </c>
      <c r="CU36" s="38">
        <v>58.758000000000003</v>
      </c>
      <c r="CV36" s="28"/>
      <c r="CW36" s="38">
        <v>4971</v>
      </c>
      <c r="CX36" s="38">
        <v>60.420999999999999</v>
      </c>
      <c r="CY36" s="28"/>
      <c r="CZ36" s="38">
        <v>5519</v>
      </c>
      <c r="DA36" s="38">
        <v>59.868000000000002</v>
      </c>
      <c r="DB36" s="28"/>
      <c r="DC36" s="38">
        <v>5027</v>
      </c>
      <c r="DD36" s="38">
        <v>60.296999999999997</v>
      </c>
      <c r="DE36" s="28"/>
      <c r="DF36" s="38">
        <v>5540</v>
      </c>
      <c r="DG36" s="38">
        <v>61.42</v>
      </c>
      <c r="DH36" s="28"/>
      <c r="DI36" s="6">
        <v>5148</v>
      </c>
      <c r="DJ36" s="6">
        <v>58.078000000000003</v>
      </c>
      <c r="DK36" s="28"/>
      <c r="DL36" s="6">
        <v>4500</v>
      </c>
      <c r="DM36" s="6">
        <v>62.204000000000001</v>
      </c>
      <c r="DN36" s="28"/>
      <c r="DO36" s="6">
        <v>4960</v>
      </c>
      <c r="DP36" s="6">
        <v>61.207000000000001</v>
      </c>
    </row>
    <row r="37" spans="7:120" x14ac:dyDescent="0.35">
      <c r="BR37" s="13" t="s">
        <v>54</v>
      </c>
      <c r="BS37" s="15">
        <v>4380</v>
      </c>
      <c r="BT37" s="15">
        <v>55.89</v>
      </c>
      <c r="BU37" s="28"/>
      <c r="BV37" s="38">
        <v>4876</v>
      </c>
      <c r="BW37" s="38">
        <v>58.978999999999999</v>
      </c>
      <c r="BX37" s="28"/>
      <c r="BY37" s="28"/>
      <c r="BZ37" s="28"/>
      <c r="CH37" s="28"/>
      <c r="CJ37" s="28"/>
      <c r="CK37" s="28"/>
      <c r="CL37" s="28"/>
      <c r="CM37" s="28"/>
      <c r="CN37" s="28"/>
      <c r="CO37" s="28"/>
      <c r="CP37" s="28"/>
      <c r="CQ37" s="38">
        <v>4185</v>
      </c>
      <c r="CR37" s="38">
        <v>58.976999999999997</v>
      </c>
      <c r="CS37" s="28"/>
      <c r="CT37" s="38">
        <v>4778</v>
      </c>
      <c r="CU37" s="38">
        <v>58.268999999999998</v>
      </c>
      <c r="CV37" s="28"/>
      <c r="CW37" s="38">
        <v>5108</v>
      </c>
      <c r="CX37" s="38">
        <v>58.874000000000002</v>
      </c>
      <c r="CY37" s="28"/>
      <c r="CZ37" s="38">
        <v>5646</v>
      </c>
      <c r="DA37" s="38">
        <v>60.296999999999997</v>
      </c>
      <c r="DB37" s="28"/>
      <c r="DC37" s="38">
        <v>5129</v>
      </c>
      <c r="DD37" s="38">
        <v>60.420999999999999</v>
      </c>
      <c r="DE37" s="28"/>
      <c r="DF37" s="38">
        <v>6124</v>
      </c>
      <c r="DG37" s="38">
        <v>62.295000000000002</v>
      </c>
      <c r="DH37" s="28"/>
      <c r="DI37" s="6">
        <v>5287</v>
      </c>
      <c r="DJ37" s="6">
        <v>57.122999999999998</v>
      </c>
      <c r="DK37" s="28"/>
      <c r="DL37" s="6">
        <v>4610</v>
      </c>
      <c r="DM37" s="6">
        <v>61.334000000000003</v>
      </c>
      <c r="DN37" s="28"/>
      <c r="DO37" s="6">
        <v>5072</v>
      </c>
      <c r="DP37" s="6">
        <v>61.561</v>
      </c>
    </row>
    <row r="38" spans="7:120" x14ac:dyDescent="0.35">
      <c r="BR38" s="28"/>
      <c r="BS38" s="28"/>
      <c r="BT38" s="28"/>
      <c r="BU38" s="19" t="s">
        <v>54</v>
      </c>
      <c r="BV38" s="9">
        <v>5098</v>
      </c>
      <c r="BW38" s="9">
        <v>55.89</v>
      </c>
      <c r="BX38" s="28"/>
      <c r="BY38" s="28"/>
      <c r="BZ38" s="28"/>
      <c r="CJ38" s="28"/>
      <c r="CK38" s="28"/>
      <c r="CL38" s="28"/>
      <c r="CM38" s="28"/>
      <c r="CN38" s="28"/>
      <c r="CO38" s="28"/>
      <c r="CP38" s="28"/>
      <c r="CQ38" s="38">
        <v>4363</v>
      </c>
      <c r="CR38" s="38">
        <v>58.024999999999999</v>
      </c>
      <c r="CS38" s="28"/>
      <c r="CT38" s="38">
        <v>4884</v>
      </c>
      <c r="CU38" s="38">
        <v>57.954000000000001</v>
      </c>
      <c r="CV38" s="28"/>
      <c r="CW38" s="38">
        <v>5242</v>
      </c>
      <c r="CX38" s="38">
        <v>58.268999999999998</v>
      </c>
      <c r="CY38" s="28"/>
      <c r="CZ38" s="38">
        <v>5748</v>
      </c>
      <c r="DA38" s="38">
        <v>59.710999999999999</v>
      </c>
      <c r="DB38" s="28"/>
      <c r="DC38" s="38">
        <v>5220</v>
      </c>
      <c r="DD38" s="38">
        <v>59.621000000000002</v>
      </c>
      <c r="DE38" s="28"/>
      <c r="DF38" s="38">
        <v>6256</v>
      </c>
      <c r="DG38" s="38">
        <v>59.868000000000002</v>
      </c>
      <c r="DH38" s="28"/>
      <c r="DI38" s="6">
        <v>5369</v>
      </c>
      <c r="DJ38" s="6">
        <v>57.470999999999997</v>
      </c>
      <c r="DK38" s="28"/>
      <c r="DL38" s="6">
        <v>4744</v>
      </c>
      <c r="DM38" s="6">
        <v>57.997</v>
      </c>
      <c r="DN38" s="28"/>
      <c r="DO38" s="6">
        <v>5275</v>
      </c>
      <c r="DP38" s="6">
        <v>60.886000000000003</v>
      </c>
    </row>
    <row r="39" spans="7:120" x14ac:dyDescent="0.35">
      <c r="AT39" s="28"/>
      <c r="AU39" s="28"/>
      <c r="AV39" s="28"/>
      <c r="CJ39" s="28"/>
      <c r="CK39" s="28"/>
      <c r="CL39" s="28"/>
      <c r="CM39" s="28"/>
      <c r="CN39" s="28"/>
      <c r="CO39" s="28"/>
      <c r="CP39" s="28"/>
      <c r="CQ39" s="38">
        <v>4489</v>
      </c>
      <c r="CR39" s="38">
        <v>57.706000000000003</v>
      </c>
      <c r="CS39" s="28"/>
      <c r="CT39" s="38">
        <v>4984</v>
      </c>
      <c r="CU39" s="38">
        <v>58.628999999999998</v>
      </c>
      <c r="CV39" s="28"/>
      <c r="CW39" s="38">
        <v>5371</v>
      </c>
      <c r="CX39" s="38">
        <v>58.024999999999999</v>
      </c>
      <c r="CY39" s="28"/>
      <c r="CZ39" s="38">
        <v>5876</v>
      </c>
      <c r="DA39" s="38">
        <v>58.874000000000002</v>
      </c>
      <c r="DB39" s="28"/>
      <c r="DC39" s="38">
        <v>5352</v>
      </c>
      <c r="DD39" s="38">
        <v>58.976999999999997</v>
      </c>
      <c r="DE39" s="28"/>
      <c r="DF39" s="38">
        <v>6481</v>
      </c>
      <c r="DG39" s="38">
        <v>60.420999999999999</v>
      </c>
      <c r="DH39" s="28"/>
      <c r="DI39" s="6">
        <v>5537</v>
      </c>
      <c r="DJ39" s="6">
        <v>59.203000000000003</v>
      </c>
      <c r="DK39" s="28"/>
      <c r="DL39" s="6">
        <v>4858</v>
      </c>
      <c r="DM39" s="6">
        <v>62.19</v>
      </c>
      <c r="DN39" s="28"/>
      <c r="DO39" s="6">
        <v>5454</v>
      </c>
      <c r="DP39" s="6">
        <v>60.564</v>
      </c>
    </row>
    <row r="40" spans="7:120" x14ac:dyDescent="0.35">
      <c r="AT40" s="28"/>
      <c r="AU40" s="28"/>
      <c r="AV40" s="28"/>
      <c r="CJ40" s="28"/>
      <c r="CK40" s="28"/>
      <c r="CL40" s="28"/>
      <c r="CM40" s="28"/>
      <c r="CN40" s="28"/>
      <c r="CO40" s="28"/>
      <c r="CP40" s="28"/>
      <c r="CQ40" s="38">
        <v>4612</v>
      </c>
      <c r="CR40" s="38">
        <v>56.332000000000001</v>
      </c>
      <c r="CS40" s="28"/>
      <c r="CT40" s="38">
        <v>5106</v>
      </c>
      <c r="CU40" s="38">
        <v>57.412999999999997</v>
      </c>
      <c r="CV40" s="28"/>
      <c r="CW40" s="38">
        <v>5501</v>
      </c>
      <c r="CX40" s="38">
        <v>57.706000000000003</v>
      </c>
      <c r="CY40" s="28"/>
      <c r="CZ40" s="38">
        <v>6008</v>
      </c>
      <c r="DA40" s="38">
        <v>58.268999999999998</v>
      </c>
      <c r="DB40" s="28"/>
      <c r="DC40" s="38">
        <v>5529</v>
      </c>
      <c r="DD40" s="38">
        <v>58.024999999999999</v>
      </c>
      <c r="DE40" s="28"/>
      <c r="DF40" s="38">
        <v>6572</v>
      </c>
      <c r="DG40" s="38">
        <v>59.621000000000002</v>
      </c>
      <c r="DH40" s="28"/>
      <c r="DI40" s="6">
        <v>5641</v>
      </c>
      <c r="DJ40" s="6">
        <v>59.366999999999997</v>
      </c>
      <c r="DK40" s="28"/>
      <c r="DL40" s="6">
        <v>4975</v>
      </c>
      <c r="DM40" s="6">
        <v>60.085000000000001</v>
      </c>
      <c r="DN40" s="28"/>
      <c r="DO40" s="6">
        <v>5550</v>
      </c>
      <c r="DP40" s="6">
        <v>61.6</v>
      </c>
    </row>
    <row r="41" spans="7:120" x14ac:dyDescent="0.35">
      <c r="AT41" s="28"/>
      <c r="AU41" s="28"/>
      <c r="AV41" s="28"/>
      <c r="CJ41" s="28"/>
      <c r="CK41" s="28"/>
      <c r="CL41" s="28"/>
      <c r="CM41" s="28"/>
      <c r="CN41" s="28"/>
      <c r="CO41" s="28"/>
      <c r="CP41" s="28"/>
      <c r="CQ41" s="38">
        <v>4727</v>
      </c>
      <c r="CR41" s="38">
        <v>57.148000000000003</v>
      </c>
      <c r="CS41" s="28"/>
      <c r="CT41" s="38">
        <v>5227</v>
      </c>
      <c r="CU41" s="38">
        <v>55.540999999999997</v>
      </c>
      <c r="CV41" s="28"/>
      <c r="CW41" s="38">
        <v>5619</v>
      </c>
      <c r="CX41" s="38">
        <v>56.332000000000001</v>
      </c>
      <c r="CY41" s="28"/>
      <c r="CZ41" s="38">
        <v>6267</v>
      </c>
      <c r="DA41" s="38">
        <v>57.706000000000003</v>
      </c>
      <c r="DB41" s="28"/>
      <c r="DC41" s="38">
        <v>5655</v>
      </c>
      <c r="DD41" s="38">
        <v>57.706000000000003</v>
      </c>
      <c r="DE41" s="28"/>
      <c r="DF41" s="38">
        <v>6702</v>
      </c>
      <c r="DG41" s="38">
        <v>58.976999999999997</v>
      </c>
      <c r="DH41" s="28"/>
      <c r="DI41" s="6">
        <v>5782</v>
      </c>
      <c r="DJ41" s="6">
        <v>59.664999999999999</v>
      </c>
      <c r="DK41" s="28"/>
      <c r="DL41" s="6">
        <v>5076</v>
      </c>
      <c r="DM41" s="6">
        <v>61.533000000000001</v>
      </c>
      <c r="DN41" s="28"/>
      <c r="DO41" s="6">
        <v>5675</v>
      </c>
      <c r="DP41" s="6">
        <v>60.610999999999997</v>
      </c>
    </row>
    <row r="42" spans="7:120" x14ac:dyDescent="0.35">
      <c r="AT42" s="28"/>
      <c r="AU42" s="28"/>
      <c r="AV42" s="28"/>
      <c r="CJ42" s="28"/>
      <c r="CK42" s="28"/>
      <c r="CL42" s="28"/>
      <c r="CM42" s="28"/>
      <c r="CN42" s="28"/>
      <c r="CO42" s="28"/>
      <c r="CP42" s="28"/>
      <c r="CQ42" s="38">
        <v>4824</v>
      </c>
      <c r="CR42" s="38">
        <v>54.393000000000001</v>
      </c>
      <c r="CS42" s="28"/>
      <c r="CT42" s="38">
        <v>5329</v>
      </c>
      <c r="CU42" s="38">
        <v>56.901000000000003</v>
      </c>
      <c r="CV42" s="28"/>
      <c r="CW42" s="38">
        <v>5759</v>
      </c>
      <c r="CX42" s="38">
        <v>57.148000000000003</v>
      </c>
      <c r="CY42" s="28"/>
      <c r="CZ42" s="38">
        <v>6392</v>
      </c>
      <c r="DA42" s="38">
        <v>56.332000000000001</v>
      </c>
      <c r="DB42" s="28"/>
      <c r="DC42" s="38">
        <v>5819</v>
      </c>
      <c r="DD42" s="38">
        <v>56.506</v>
      </c>
      <c r="DE42" s="28"/>
      <c r="DF42" s="38">
        <v>6880</v>
      </c>
      <c r="DG42" s="38">
        <v>58.024999999999999</v>
      </c>
      <c r="DH42" s="28"/>
      <c r="DI42" s="6">
        <v>5935</v>
      </c>
      <c r="DJ42" s="6">
        <v>59.673000000000002</v>
      </c>
      <c r="DK42" s="28"/>
      <c r="DL42" s="6">
        <v>5177</v>
      </c>
      <c r="DM42" s="6">
        <v>62.322000000000003</v>
      </c>
      <c r="DN42" s="28"/>
      <c r="DO42" s="6">
        <v>5871</v>
      </c>
      <c r="DP42" s="6">
        <v>61.262999999999998</v>
      </c>
    </row>
    <row r="43" spans="7:120" x14ac:dyDescent="0.35">
      <c r="AT43" s="28"/>
      <c r="AU43" s="28"/>
      <c r="AV43" s="28"/>
      <c r="CJ43" s="28"/>
      <c r="CK43" s="28"/>
      <c r="CL43" s="28"/>
      <c r="CM43" s="28"/>
      <c r="CN43" s="28"/>
      <c r="CO43" s="28"/>
      <c r="CP43" s="28"/>
      <c r="CQ43" s="38">
        <v>4958</v>
      </c>
      <c r="CR43" s="38">
        <v>54.594999999999999</v>
      </c>
      <c r="CS43" s="28"/>
      <c r="CT43" s="38">
        <v>5373</v>
      </c>
      <c r="CU43" s="38">
        <v>54.393000000000001</v>
      </c>
      <c r="CV43" s="28"/>
      <c r="CW43" s="38">
        <v>5855</v>
      </c>
      <c r="CX43" s="38">
        <v>54.393000000000001</v>
      </c>
      <c r="CY43" s="28"/>
      <c r="CZ43" s="38">
        <v>6509</v>
      </c>
      <c r="DA43" s="38">
        <v>57.148000000000003</v>
      </c>
      <c r="DB43" s="28"/>
      <c r="DC43" s="38">
        <v>5942</v>
      </c>
      <c r="DD43" s="38">
        <v>56.901000000000003</v>
      </c>
      <c r="DE43" s="28"/>
      <c r="DF43" s="38">
        <v>7007</v>
      </c>
      <c r="DG43" s="38">
        <v>57.706000000000003</v>
      </c>
      <c r="DH43" s="28"/>
      <c r="DI43" s="6">
        <v>6363</v>
      </c>
      <c r="DJ43" s="6">
        <v>61.6</v>
      </c>
      <c r="DK43" s="28"/>
      <c r="DL43" s="6">
        <v>5281</v>
      </c>
      <c r="DM43" s="6">
        <v>63.116999999999997</v>
      </c>
      <c r="DN43" s="28"/>
      <c r="DO43" s="6">
        <v>6202</v>
      </c>
      <c r="DP43" s="6">
        <v>61.83</v>
      </c>
    </row>
    <row r="44" spans="7:120" x14ac:dyDescent="0.35">
      <c r="AT44" s="28"/>
      <c r="AU44" s="28"/>
      <c r="AV44" s="28"/>
      <c r="CJ44" s="28"/>
      <c r="CK44" s="28"/>
      <c r="CL44" s="28"/>
      <c r="CM44" s="28"/>
      <c r="CN44" s="28"/>
      <c r="CO44" s="28"/>
      <c r="CP44" s="28"/>
      <c r="CQ44" s="38">
        <v>5094</v>
      </c>
      <c r="CR44" s="38">
        <v>56.499000000000002</v>
      </c>
      <c r="CS44" s="28"/>
      <c r="CT44" s="38">
        <v>5443</v>
      </c>
      <c r="CU44" s="38">
        <v>54.643999999999998</v>
      </c>
      <c r="CV44" s="28"/>
      <c r="CW44" s="38">
        <v>5991</v>
      </c>
      <c r="CX44" s="38">
        <v>54.594999999999999</v>
      </c>
      <c r="CY44" s="28"/>
      <c r="CZ44" s="38">
        <v>6607</v>
      </c>
      <c r="DA44" s="38">
        <v>54.393000000000001</v>
      </c>
      <c r="DB44" s="28"/>
      <c r="DC44" s="38">
        <v>6058</v>
      </c>
      <c r="DD44" s="38">
        <v>54.643999999999998</v>
      </c>
      <c r="DE44" s="28"/>
      <c r="DF44" s="38">
        <v>7130</v>
      </c>
      <c r="DG44" s="38">
        <v>56.332000000000001</v>
      </c>
      <c r="DH44" s="28"/>
      <c r="DI44" s="6">
        <v>6458</v>
      </c>
      <c r="DJ44" s="6">
        <v>60.610999999999997</v>
      </c>
      <c r="DK44" s="28"/>
      <c r="DL44" s="6">
        <v>5378</v>
      </c>
      <c r="DM44" s="6">
        <v>62.125</v>
      </c>
      <c r="DN44" s="28"/>
      <c r="DO44" s="6">
        <v>6388</v>
      </c>
      <c r="DP44" s="6">
        <v>62.31</v>
      </c>
    </row>
    <row r="45" spans="7:120" x14ac:dyDescent="0.35">
      <c r="AI45" s="28"/>
      <c r="AJ45" s="28"/>
      <c r="AT45" s="28"/>
      <c r="AU45" s="28"/>
      <c r="AV45" s="28"/>
      <c r="CJ45" s="28"/>
      <c r="CK45" s="28"/>
      <c r="CL45" s="28"/>
      <c r="CM45" s="28"/>
      <c r="CN45" s="28"/>
      <c r="CO45" s="28"/>
      <c r="CP45" s="13" t="s">
        <v>54</v>
      </c>
      <c r="CQ45" s="15">
        <v>5450</v>
      </c>
      <c r="CR45" s="15">
        <v>55.89</v>
      </c>
      <c r="CS45" s="28"/>
      <c r="CT45" s="38">
        <v>5545</v>
      </c>
      <c r="CU45" s="38">
        <v>55.415999999999997</v>
      </c>
      <c r="CV45" s="28"/>
      <c r="CW45" s="38">
        <v>6124</v>
      </c>
      <c r="CX45" s="38">
        <v>56.499000000000002</v>
      </c>
      <c r="CY45" s="28"/>
      <c r="CZ45" s="38">
        <v>6743</v>
      </c>
      <c r="DA45" s="38">
        <v>54.594999999999999</v>
      </c>
      <c r="DB45" s="28"/>
      <c r="DC45" s="38">
        <v>6175</v>
      </c>
      <c r="DD45" s="38">
        <v>55.415999999999997</v>
      </c>
      <c r="DE45" s="28"/>
      <c r="DF45" s="38">
        <v>7198</v>
      </c>
      <c r="DG45" s="38">
        <v>55.540999999999997</v>
      </c>
      <c r="DH45" s="28"/>
      <c r="DI45" s="6">
        <v>6520</v>
      </c>
      <c r="DJ45" s="6">
        <v>60.279000000000003</v>
      </c>
      <c r="DK45" s="28"/>
      <c r="DL45" s="6">
        <v>5556</v>
      </c>
      <c r="DM45" s="6">
        <v>62.326999999999998</v>
      </c>
      <c r="DN45" s="28"/>
      <c r="DO45" s="6">
        <v>6588</v>
      </c>
      <c r="DP45" s="6">
        <v>62.295000000000002</v>
      </c>
    </row>
    <row r="46" spans="7:120" x14ac:dyDescent="0.35">
      <c r="AI46" s="28"/>
      <c r="AJ46" s="28"/>
      <c r="AT46" s="28"/>
      <c r="AU46" s="28"/>
      <c r="AV46" s="28"/>
      <c r="CS46" s="28"/>
      <c r="CT46" s="38">
        <v>5682</v>
      </c>
      <c r="CU46" s="38">
        <v>55.942</v>
      </c>
      <c r="CV46" s="28"/>
      <c r="CW46" s="38">
        <v>6208</v>
      </c>
      <c r="CX46" s="38">
        <v>57.075000000000003</v>
      </c>
      <c r="CY46" s="28"/>
      <c r="CZ46" s="38">
        <v>6874</v>
      </c>
      <c r="DA46" s="38">
        <v>56.499000000000002</v>
      </c>
      <c r="DB46" s="28"/>
      <c r="DC46" s="38">
        <v>6298</v>
      </c>
      <c r="DD46" s="38">
        <v>55.942</v>
      </c>
      <c r="DE46" s="28"/>
      <c r="DF46" s="38">
        <v>7343</v>
      </c>
      <c r="DG46" s="38">
        <v>54.393000000000001</v>
      </c>
      <c r="DH46" s="28"/>
      <c r="DI46" s="6">
        <v>6661</v>
      </c>
      <c r="DJ46" s="6">
        <v>61.262999999999998</v>
      </c>
      <c r="DK46" s="28"/>
      <c r="DL46" s="6">
        <v>5704</v>
      </c>
      <c r="DM46" s="6">
        <v>61.453000000000003</v>
      </c>
      <c r="DN46" s="28"/>
      <c r="DO46" s="6">
        <v>6710</v>
      </c>
      <c r="DP46" s="6">
        <v>60.959000000000003</v>
      </c>
    </row>
    <row r="47" spans="7:120" x14ac:dyDescent="0.35">
      <c r="AI47" s="28"/>
      <c r="AJ47" s="28"/>
      <c r="AT47" s="28"/>
      <c r="AU47" s="28"/>
      <c r="AV47" s="28"/>
      <c r="CS47" s="19" t="s">
        <v>54</v>
      </c>
      <c r="CT47" s="9">
        <v>5989</v>
      </c>
      <c r="CU47" s="9">
        <v>55.89</v>
      </c>
      <c r="CV47" s="13" t="s">
        <v>54</v>
      </c>
      <c r="CW47" s="15">
        <v>6395</v>
      </c>
      <c r="CX47" s="15">
        <v>55.89</v>
      </c>
      <c r="CY47" s="28"/>
      <c r="CZ47" s="38">
        <v>6968</v>
      </c>
      <c r="DA47" s="38">
        <v>57.075000000000003</v>
      </c>
      <c r="DB47" s="13" t="s">
        <v>54</v>
      </c>
      <c r="DC47" s="15">
        <v>6617</v>
      </c>
      <c r="DD47" s="15">
        <v>55.89</v>
      </c>
      <c r="DE47" s="28"/>
      <c r="DF47" s="38">
        <v>7420</v>
      </c>
      <c r="DG47" s="38">
        <v>54.643999999999998</v>
      </c>
      <c r="DH47" s="28"/>
      <c r="DI47" s="6">
        <v>6779</v>
      </c>
      <c r="DJ47" s="6">
        <v>61.42</v>
      </c>
      <c r="DK47" s="28"/>
      <c r="DL47" s="6">
        <v>5825</v>
      </c>
      <c r="DM47" s="6">
        <v>61.484000000000002</v>
      </c>
      <c r="DN47" s="28"/>
      <c r="DO47" s="6">
        <v>7109</v>
      </c>
      <c r="DP47" s="6">
        <v>59.232999999999997</v>
      </c>
    </row>
    <row r="48" spans="7:120" x14ac:dyDescent="0.35">
      <c r="AI48" s="28"/>
      <c r="AJ48" s="28"/>
      <c r="AT48" s="28"/>
      <c r="AU48" s="28"/>
      <c r="AV48" s="28"/>
      <c r="CS48" s="28"/>
      <c r="CT48" s="28"/>
      <c r="CU48" s="28"/>
      <c r="CV48" s="28"/>
      <c r="CW48" s="28"/>
      <c r="CX48" s="28"/>
      <c r="CY48" s="19" t="s">
        <v>54</v>
      </c>
      <c r="CZ48" s="9">
        <v>7169</v>
      </c>
      <c r="DA48" s="9">
        <v>55.89</v>
      </c>
      <c r="DB48" s="28"/>
      <c r="DC48" s="28"/>
      <c r="DD48" s="28"/>
      <c r="DE48" s="28"/>
      <c r="DF48" s="38">
        <v>7523</v>
      </c>
      <c r="DG48" s="38">
        <v>55.415999999999997</v>
      </c>
      <c r="DH48" s="28"/>
      <c r="DI48" s="6">
        <v>7181</v>
      </c>
      <c r="DJ48" s="6">
        <v>62.31</v>
      </c>
      <c r="DK48" s="28"/>
      <c r="DL48" s="6">
        <v>5979</v>
      </c>
      <c r="DM48" s="6">
        <v>62.762</v>
      </c>
      <c r="DN48" s="28"/>
      <c r="DO48" s="6">
        <v>7406</v>
      </c>
      <c r="DP48" s="6">
        <v>58.024999999999999</v>
      </c>
    </row>
    <row r="49" spans="35:120" x14ac:dyDescent="0.35">
      <c r="AI49" s="28"/>
      <c r="AJ49" s="28"/>
      <c r="AT49" s="28"/>
      <c r="AU49" s="28"/>
      <c r="AV49" s="28"/>
      <c r="DB49" s="28"/>
      <c r="DC49" s="28"/>
      <c r="DD49" s="28"/>
      <c r="DE49" s="28"/>
      <c r="DF49" s="38">
        <v>7649</v>
      </c>
      <c r="DG49" s="38">
        <v>55.942</v>
      </c>
      <c r="DH49" s="28"/>
      <c r="DI49" s="6">
        <v>7676</v>
      </c>
      <c r="DJ49" s="6">
        <v>60.009</v>
      </c>
      <c r="DK49" s="28"/>
      <c r="DL49" s="6">
        <v>6097</v>
      </c>
      <c r="DM49" s="6">
        <v>62.5</v>
      </c>
      <c r="DN49" s="28"/>
      <c r="DO49" s="6">
        <v>7532</v>
      </c>
      <c r="DP49" s="6">
        <v>57.706000000000003</v>
      </c>
    </row>
    <row r="50" spans="35:120" x14ac:dyDescent="0.35">
      <c r="AI50" s="28"/>
      <c r="AJ50" s="28"/>
      <c r="AT50" s="28"/>
      <c r="AU50" s="28"/>
      <c r="AV50" s="28"/>
      <c r="DB50" s="28"/>
      <c r="DC50" s="28"/>
      <c r="DD50" s="28"/>
      <c r="DE50" s="19" t="s">
        <v>54</v>
      </c>
      <c r="DF50" s="9">
        <v>7971</v>
      </c>
      <c r="DG50" s="9">
        <v>55.89</v>
      </c>
      <c r="DH50" s="28"/>
      <c r="DI50" s="6">
        <v>7809</v>
      </c>
      <c r="DJ50" s="6">
        <v>59.621000000000002</v>
      </c>
      <c r="DK50" s="28"/>
      <c r="DL50" s="6">
        <v>6187</v>
      </c>
      <c r="DM50" s="6">
        <v>61.567999999999998</v>
      </c>
      <c r="DN50" s="28"/>
      <c r="DO50" s="6">
        <v>7811</v>
      </c>
      <c r="DP50" s="6">
        <v>58.344000000000001</v>
      </c>
    </row>
    <row r="51" spans="35:120" x14ac:dyDescent="0.35">
      <c r="AI51" s="28"/>
      <c r="AJ51" s="28"/>
      <c r="AQ51" s="28"/>
      <c r="AR51" s="28"/>
      <c r="AS51" s="28"/>
      <c r="AT51" s="28"/>
      <c r="AU51" s="28"/>
      <c r="AV51" s="28"/>
      <c r="DB51" s="28"/>
      <c r="DC51" s="28"/>
      <c r="DD51" s="28"/>
      <c r="DE51" s="28"/>
      <c r="DF51" s="28"/>
      <c r="DG51" s="28"/>
      <c r="DH51" s="28"/>
      <c r="DI51" s="6">
        <v>7887</v>
      </c>
      <c r="DJ51" s="6">
        <v>58.758000000000003</v>
      </c>
      <c r="DK51" s="28"/>
      <c r="DL51" s="6">
        <v>6414</v>
      </c>
      <c r="DM51" s="6">
        <v>61.790999999999997</v>
      </c>
      <c r="DN51" s="28"/>
      <c r="DO51" s="6">
        <v>8139</v>
      </c>
      <c r="DP51" s="6">
        <v>56.499000000000002</v>
      </c>
    </row>
    <row r="52" spans="35:120" x14ac:dyDescent="0.35">
      <c r="AI52" s="28"/>
      <c r="AJ52" s="28"/>
      <c r="AQ52" s="28"/>
      <c r="AR52" s="28"/>
      <c r="AS52" s="28"/>
      <c r="AT52" s="28"/>
      <c r="AU52" s="28"/>
      <c r="AV52" s="28"/>
      <c r="DB52" s="28"/>
      <c r="DC52" s="28"/>
      <c r="DD52" s="28"/>
      <c r="DE52" s="28"/>
      <c r="DF52" s="28"/>
      <c r="DG52" s="28"/>
      <c r="DH52" s="28"/>
      <c r="DI52" s="6">
        <v>7983</v>
      </c>
      <c r="DJ52" s="6">
        <v>59.055</v>
      </c>
      <c r="DK52" s="28"/>
      <c r="DL52" s="6">
        <v>6610</v>
      </c>
      <c r="DM52" s="6">
        <v>59.801000000000002</v>
      </c>
      <c r="DN52" s="13" t="s">
        <v>54</v>
      </c>
      <c r="DO52" s="15">
        <v>8410</v>
      </c>
      <c r="DP52" s="15">
        <v>56.07</v>
      </c>
    </row>
    <row r="53" spans="35:120" x14ac:dyDescent="0.35">
      <c r="AI53" s="28"/>
      <c r="AJ53" s="28"/>
      <c r="AQ53" s="28"/>
      <c r="AR53" s="28"/>
      <c r="AS53" s="28"/>
      <c r="AT53" s="28"/>
      <c r="AU53" s="28"/>
      <c r="AV53" s="28"/>
      <c r="DB53" s="28"/>
      <c r="DC53" s="28"/>
      <c r="DD53" s="28"/>
      <c r="DE53" s="28"/>
      <c r="DF53" s="28"/>
      <c r="DG53" s="28"/>
      <c r="DH53" s="28"/>
      <c r="DI53" s="6">
        <v>8085</v>
      </c>
      <c r="DJ53" s="6">
        <v>57.954000000000001</v>
      </c>
      <c r="DK53" s="28"/>
      <c r="DL53" s="6">
        <v>6713</v>
      </c>
      <c r="DM53" s="6">
        <v>59.509</v>
      </c>
      <c r="DN53" s="28"/>
      <c r="DO53" s="28"/>
      <c r="DP53" s="28"/>
    </row>
    <row r="54" spans="35:120" x14ac:dyDescent="0.35">
      <c r="AI54" s="28"/>
      <c r="AJ54" s="28"/>
      <c r="AQ54" s="28"/>
      <c r="AR54" s="28"/>
      <c r="AS54" s="28"/>
      <c r="AT54" s="28"/>
      <c r="AU54" s="28"/>
      <c r="AV54" s="28"/>
      <c r="DB54" s="28"/>
      <c r="DC54" s="28"/>
      <c r="DD54" s="28"/>
      <c r="DE54" s="28"/>
      <c r="DF54" s="28"/>
      <c r="DG54" s="28"/>
      <c r="DH54" s="28"/>
      <c r="DI54" s="6">
        <v>8188</v>
      </c>
      <c r="DJ54" s="6">
        <v>58.628999999999998</v>
      </c>
      <c r="DK54" s="28"/>
      <c r="DL54" s="6">
        <v>6852</v>
      </c>
      <c r="DM54" s="6">
        <v>61.389000000000003</v>
      </c>
      <c r="DN54" s="28"/>
      <c r="DO54" s="28"/>
      <c r="DP54" s="28"/>
    </row>
    <row r="55" spans="35:120" x14ac:dyDescent="0.35">
      <c r="AI55" s="28"/>
      <c r="AJ55" s="28"/>
      <c r="AK55" s="28"/>
      <c r="AL55" s="28"/>
      <c r="AM55" s="28"/>
      <c r="AQ55" s="28"/>
      <c r="AR55" s="28"/>
      <c r="AS55" s="28"/>
      <c r="AT55" s="28"/>
      <c r="AU55" s="28"/>
      <c r="AV55" s="28"/>
      <c r="DB55" s="28"/>
      <c r="DC55" s="28"/>
      <c r="DD55" s="28"/>
      <c r="DE55" s="28"/>
      <c r="DF55" s="28"/>
      <c r="DG55" s="28"/>
      <c r="DH55" s="28"/>
      <c r="DI55" s="6">
        <v>8305</v>
      </c>
      <c r="DJ55" s="6">
        <v>57.412999999999997</v>
      </c>
      <c r="DK55" s="28"/>
      <c r="DL55" s="6">
        <v>6948</v>
      </c>
      <c r="DM55" s="6">
        <v>60.948</v>
      </c>
      <c r="DN55" s="28"/>
      <c r="DO55" s="28"/>
      <c r="DP55" s="28"/>
    </row>
    <row r="56" spans="35:120" x14ac:dyDescent="0.35">
      <c r="AI56" s="28"/>
      <c r="AJ56" s="28"/>
      <c r="AK56" s="28"/>
      <c r="AL56" s="28"/>
      <c r="AM56" s="28"/>
      <c r="AQ56" s="28"/>
      <c r="AR56" s="28"/>
      <c r="AS56" s="28"/>
      <c r="AT56" s="28"/>
      <c r="AU56" s="28"/>
      <c r="AV56" s="28"/>
      <c r="DB56" s="28"/>
      <c r="DC56" s="28"/>
      <c r="DD56" s="28"/>
      <c r="DE56" s="28"/>
      <c r="DF56" s="28"/>
      <c r="DG56" s="28"/>
      <c r="DH56" s="28"/>
      <c r="DI56" s="6">
        <v>8400</v>
      </c>
      <c r="DJ56" s="6">
        <v>56.506</v>
      </c>
      <c r="DK56" s="28"/>
      <c r="DL56" s="6">
        <v>7089</v>
      </c>
      <c r="DM56" s="6">
        <v>61.223999999999997</v>
      </c>
      <c r="DN56" s="28"/>
      <c r="DO56" s="28"/>
      <c r="DP56" s="28"/>
    </row>
    <row r="57" spans="35:120" x14ac:dyDescent="0.35">
      <c r="AI57" s="28"/>
      <c r="AJ57" s="28"/>
      <c r="AK57" s="28"/>
      <c r="AL57" s="28"/>
      <c r="AM57" s="28"/>
      <c r="AQ57" s="28"/>
      <c r="AR57" s="28"/>
      <c r="AS57" s="28"/>
      <c r="AT57" s="28"/>
      <c r="AU57" s="28"/>
      <c r="AV57" s="28"/>
      <c r="AW57" s="28"/>
      <c r="AX57" s="28"/>
      <c r="AY57" s="28"/>
      <c r="AZ57" s="28"/>
      <c r="BA57" s="28"/>
      <c r="BB57" s="28"/>
      <c r="BC57" s="28"/>
      <c r="BD57" s="28"/>
      <c r="BE57" s="28"/>
      <c r="DB57" s="28"/>
      <c r="DC57" s="28"/>
      <c r="DD57" s="28"/>
      <c r="DE57" s="28"/>
      <c r="DF57" s="28"/>
      <c r="DG57" s="28"/>
      <c r="DH57" s="28"/>
      <c r="DI57" s="6">
        <v>8514</v>
      </c>
      <c r="DJ57" s="6">
        <v>55.442999999999998</v>
      </c>
      <c r="DK57" s="28"/>
      <c r="DL57" s="6">
        <v>7178</v>
      </c>
      <c r="DM57" s="6">
        <v>60.664999999999999</v>
      </c>
      <c r="DN57" s="28"/>
      <c r="DO57" s="28"/>
      <c r="DP57" s="28"/>
    </row>
    <row r="58" spans="35:120" x14ac:dyDescent="0.35">
      <c r="AI58" s="28"/>
      <c r="AJ58" s="28"/>
      <c r="AK58" s="28"/>
      <c r="AL58" s="28"/>
      <c r="AM58" s="28"/>
      <c r="AQ58" s="28"/>
      <c r="AR58" s="28"/>
      <c r="AS58" s="28"/>
      <c r="AT58" s="28"/>
      <c r="AU58" s="28"/>
      <c r="AV58" s="28"/>
      <c r="AW58" s="28"/>
      <c r="AX58" s="28"/>
      <c r="AY58" s="28"/>
      <c r="AZ58" s="28"/>
      <c r="BA58" s="28"/>
      <c r="BB58" s="28"/>
      <c r="BC58" s="28"/>
      <c r="BD58" s="28"/>
      <c r="BE58" s="28"/>
      <c r="BF58" s="28"/>
      <c r="BG58" s="28"/>
      <c r="BH58" s="28"/>
      <c r="BI58" s="28"/>
      <c r="BJ58" s="28"/>
      <c r="BK58" s="28"/>
      <c r="BL58" s="28"/>
      <c r="BM58" s="28"/>
      <c r="BN58" s="28"/>
      <c r="DB58" s="28"/>
      <c r="DC58" s="28"/>
      <c r="DD58" s="28"/>
      <c r="DE58" s="28"/>
      <c r="DF58" s="28"/>
      <c r="DG58" s="28"/>
      <c r="DH58" s="28"/>
      <c r="DI58" s="6">
        <v>8576</v>
      </c>
      <c r="DJ58" s="6">
        <v>54.393000000000001</v>
      </c>
      <c r="DK58" s="28"/>
      <c r="DL58" s="6">
        <v>7282</v>
      </c>
      <c r="DM58" s="6">
        <v>61.268999999999998</v>
      </c>
      <c r="DN58" s="28"/>
      <c r="DO58" s="28"/>
      <c r="DP58" s="28"/>
    </row>
    <row r="59" spans="35:120" x14ac:dyDescent="0.35"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  <c r="AW59" s="28"/>
      <c r="AX59" s="28"/>
      <c r="AY59" s="28"/>
      <c r="AZ59" s="28"/>
      <c r="BA59" s="28"/>
      <c r="BB59" s="28"/>
      <c r="BC59" s="28"/>
      <c r="BD59" s="28"/>
      <c r="BE59" s="28"/>
      <c r="BF59" s="28"/>
      <c r="BG59" s="28"/>
      <c r="BH59" s="28"/>
      <c r="BI59" s="28"/>
      <c r="BJ59" s="28"/>
      <c r="BK59" s="28"/>
      <c r="BL59" s="28"/>
      <c r="BM59" s="28"/>
      <c r="BN59" s="28"/>
      <c r="DB59" s="28"/>
      <c r="DC59" s="28"/>
      <c r="DD59" s="28"/>
      <c r="DE59" s="28"/>
      <c r="DF59" s="28"/>
      <c r="DG59" s="28"/>
      <c r="DH59" s="28"/>
      <c r="DI59" s="6">
        <v>8654</v>
      </c>
      <c r="DJ59" s="6">
        <v>54.643999999999998</v>
      </c>
      <c r="DK59" s="28"/>
      <c r="DL59" s="6">
        <v>7310</v>
      </c>
      <c r="DM59" s="6">
        <v>61.616999999999997</v>
      </c>
      <c r="DN59" s="28"/>
      <c r="DO59" s="28"/>
      <c r="DP59" s="28"/>
    </row>
    <row r="60" spans="35:120" x14ac:dyDescent="0.35"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  <c r="AW60" s="28"/>
      <c r="AX60" s="28"/>
      <c r="AY60" s="28"/>
      <c r="AZ60" s="28"/>
      <c r="BA60" s="28"/>
      <c r="BB60" s="28"/>
      <c r="BC60" s="28"/>
      <c r="BD60" s="28"/>
      <c r="BE60" s="28"/>
      <c r="BF60" s="28"/>
      <c r="BG60" s="28"/>
      <c r="BH60" s="28"/>
      <c r="BI60" s="28"/>
      <c r="BJ60" s="28"/>
      <c r="BK60" s="28"/>
      <c r="BL60" s="28"/>
      <c r="BM60" s="28"/>
      <c r="BN60" s="28"/>
      <c r="DB60" s="28"/>
      <c r="DC60" s="28"/>
      <c r="DD60" s="28"/>
      <c r="DE60" s="28"/>
      <c r="DF60" s="28"/>
      <c r="DG60" s="28"/>
      <c r="DH60" s="28"/>
      <c r="DI60" s="6">
        <v>8763</v>
      </c>
      <c r="DJ60" s="6">
        <v>55.415999999999997</v>
      </c>
      <c r="DK60" s="28"/>
      <c r="DL60" s="6">
        <v>7474</v>
      </c>
      <c r="DM60" s="6">
        <v>61.526000000000003</v>
      </c>
      <c r="DN60" s="28"/>
      <c r="DO60" s="28"/>
      <c r="DP60" s="28"/>
    </row>
    <row r="61" spans="35:120" x14ac:dyDescent="0.35"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  <c r="BL61" s="28"/>
      <c r="BM61" s="28"/>
      <c r="BN61" s="28"/>
      <c r="DB61" s="28"/>
      <c r="DC61" s="28"/>
      <c r="DD61" s="28"/>
      <c r="DE61" s="28"/>
      <c r="DF61" s="28"/>
      <c r="DG61" s="28"/>
      <c r="DH61" s="28"/>
      <c r="DI61" s="6">
        <v>8884</v>
      </c>
      <c r="DJ61" s="6">
        <v>55.942</v>
      </c>
      <c r="DK61" s="28"/>
      <c r="DL61" s="6">
        <v>7659</v>
      </c>
      <c r="DM61" s="6">
        <v>61.561</v>
      </c>
      <c r="DN61" s="28"/>
      <c r="DO61" s="28"/>
      <c r="DP61" s="28"/>
    </row>
    <row r="62" spans="35:120" x14ac:dyDescent="0.35"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  <c r="BL62" s="28"/>
      <c r="BM62" s="28"/>
      <c r="BN62" s="28"/>
      <c r="DB62" s="28"/>
      <c r="DC62" s="28"/>
      <c r="DD62" s="28"/>
      <c r="DE62" s="28"/>
      <c r="DF62" s="28"/>
      <c r="DG62" s="28"/>
      <c r="DH62" s="13" t="s">
        <v>54</v>
      </c>
      <c r="DI62" s="15">
        <v>9204</v>
      </c>
      <c r="DJ62" s="15">
        <v>56.07</v>
      </c>
      <c r="DK62" s="28"/>
      <c r="DL62" s="6">
        <v>7765</v>
      </c>
      <c r="DM62" s="6">
        <v>61.576000000000001</v>
      </c>
      <c r="DN62" s="28"/>
      <c r="DO62" s="28"/>
      <c r="DP62" s="28"/>
    </row>
    <row r="63" spans="35:120" x14ac:dyDescent="0.35"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  <c r="AX63" s="28"/>
      <c r="AY63" s="28"/>
      <c r="AZ63" s="28"/>
      <c r="BA63" s="28"/>
      <c r="BB63" s="28"/>
      <c r="BC63" s="28"/>
      <c r="BD63" s="28"/>
      <c r="BE63" s="28"/>
      <c r="BF63" s="28"/>
      <c r="BG63" s="28"/>
      <c r="BH63" s="28"/>
      <c r="BI63" s="28"/>
      <c r="BJ63" s="28"/>
      <c r="BK63" s="28"/>
      <c r="BL63" s="28"/>
      <c r="BM63" s="28"/>
      <c r="BN63" s="28"/>
      <c r="DK63" s="28"/>
      <c r="DL63" s="6">
        <v>7862</v>
      </c>
      <c r="DM63" s="6">
        <v>60.886000000000003</v>
      </c>
      <c r="DN63" s="28"/>
      <c r="DO63" s="28"/>
      <c r="DP63" s="28"/>
    </row>
    <row r="64" spans="35:120" x14ac:dyDescent="0.35"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  <c r="AX64" s="28"/>
      <c r="AY64" s="28"/>
      <c r="AZ64" s="28"/>
      <c r="BA64" s="28"/>
      <c r="BB64" s="28"/>
      <c r="BC64" s="28"/>
      <c r="BD64" s="28"/>
      <c r="BE64" s="28"/>
      <c r="BF64" s="28"/>
      <c r="BG64" s="28"/>
      <c r="BH64" s="28"/>
      <c r="BI64" s="28"/>
      <c r="BJ64" s="28"/>
      <c r="BK64" s="28"/>
      <c r="BL64" s="28"/>
      <c r="BM64" s="28"/>
      <c r="BN64" s="28"/>
      <c r="DK64" s="28"/>
      <c r="DL64" s="6">
        <v>7954</v>
      </c>
      <c r="DM64" s="6">
        <v>61.357999999999997</v>
      </c>
      <c r="DN64" s="28"/>
      <c r="DO64" s="28"/>
      <c r="DP64" s="28"/>
    </row>
    <row r="65" spans="35:117" x14ac:dyDescent="0.35"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28"/>
      <c r="BF65" s="28"/>
      <c r="BG65" s="28"/>
      <c r="BH65" s="28"/>
      <c r="BI65" s="28"/>
      <c r="BJ65" s="28"/>
      <c r="BK65" s="28"/>
      <c r="BL65" s="28"/>
      <c r="BM65" s="28"/>
      <c r="BN65" s="28"/>
      <c r="DK65" s="28"/>
      <c r="DL65" s="6">
        <v>8066</v>
      </c>
      <c r="DM65" s="6">
        <v>60.917000000000002</v>
      </c>
    </row>
    <row r="66" spans="35:117" x14ac:dyDescent="0.35"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  <c r="AV66" s="28"/>
      <c r="AW66" s="28"/>
      <c r="AX66" s="28"/>
      <c r="AY66" s="28"/>
      <c r="AZ66" s="28"/>
      <c r="BA66" s="28"/>
      <c r="BB66" s="28"/>
      <c r="BC66" s="28"/>
      <c r="BD66" s="28"/>
      <c r="BE66" s="28"/>
      <c r="BF66" s="28"/>
      <c r="BG66" s="28"/>
      <c r="BH66" s="28"/>
      <c r="BI66" s="28"/>
      <c r="BJ66" s="28"/>
      <c r="BK66" s="28"/>
      <c r="BL66" s="28"/>
      <c r="BM66" s="28"/>
      <c r="BN66" s="28"/>
      <c r="DK66" s="28"/>
      <c r="DL66" s="6">
        <v>8261</v>
      </c>
      <c r="DM66" s="6">
        <v>60.610999999999997</v>
      </c>
    </row>
    <row r="67" spans="35:117" x14ac:dyDescent="0.35"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  <c r="AW67" s="28"/>
      <c r="AX67" s="28"/>
      <c r="AY67" s="28"/>
      <c r="AZ67" s="28"/>
      <c r="BA67" s="28"/>
      <c r="BB67" s="28"/>
      <c r="BC67" s="28"/>
      <c r="BD67" s="28"/>
      <c r="BE67" s="28"/>
      <c r="BF67" s="28"/>
      <c r="BG67" s="28"/>
      <c r="BH67" s="28"/>
      <c r="BI67" s="28"/>
      <c r="BJ67" s="28"/>
      <c r="BK67" s="28"/>
      <c r="BL67" s="28"/>
      <c r="BM67" s="28"/>
      <c r="BN67" s="28"/>
      <c r="DK67" s="28"/>
      <c r="DL67" s="6">
        <v>8460</v>
      </c>
      <c r="DM67" s="6">
        <v>61.262999999999998</v>
      </c>
    </row>
    <row r="68" spans="35:117" x14ac:dyDescent="0.35"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  <c r="AW68" s="28"/>
      <c r="AX68" s="28"/>
      <c r="AY68" s="28"/>
      <c r="AZ68" s="28"/>
      <c r="BA68" s="28"/>
      <c r="BB68" s="28"/>
      <c r="BC68" s="28"/>
      <c r="BD68" s="28"/>
      <c r="BE68" s="28"/>
      <c r="BF68" s="28"/>
      <c r="BG68" s="28"/>
      <c r="BH68" s="28"/>
      <c r="BI68" s="28"/>
      <c r="BJ68" s="28"/>
      <c r="BK68" s="28"/>
      <c r="BL68" s="28"/>
      <c r="BM68" s="28"/>
      <c r="BN68" s="28"/>
      <c r="DK68" s="28"/>
      <c r="DL68" s="6">
        <v>8571</v>
      </c>
      <c r="DM68" s="6">
        <v>61.42</v>
      </c>
    </row>
    <row r="69" spans="35:117" x14ac:dyDescent="0.35"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  <c r="AW69" s="28"/>
      <c r="AX69" s="28"/>
      <c r="AY69" s="28"/>
      <c r="AZ69" s="28"/>
      <c r="BA69" s="28"/>
      <c r="BB69" s="28"/>
      <c r="BC69" s="28"/>
      <c r="BD69" s="28"/>
      <c r="BE69" s="28"/>
      <c r="BF69" s="28"/>
      <c r="BG69" s="28"/>
      <c r="BH69" s="28"/>
      <c r="BI69" s="28"/>
      <c r="BJ69" s="28"/>
      <c r="BK69" s="28"/>
      <c r="BL69" s="28"/>
      <c r="BM69" s="28"/>
      <c r="BN69" s="28"/>
      <c r="DK69" s="28"/>
      <c r="DL69" s="6">
        <v>9165</v>
      </c>
      <c r="DM69" s="6">
        <v>62.295000000000002</v>
      </c>
    </row>
    <row r="70" spans="35:117" x14ac:dyDescent="0.35"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  <c r="AX70" s="28"/>
      <c r="AY70" s="28"/>
      <c r="AZ70" s="28"/>
      <c r="BA70" s="28"/>
      <c r="BB70" s="28"/>
      <c r="BC70" s="28"/>
      <c r="BD70" s="28"/>
      <c r="BE70" s="28"/>
      <c r="BF70" s="28"/>
      <c r="BG70" s="28"/>
      <c r="BH70" s="28"/>
      <c r="BI70" s="28"/>
      <c r="BJ70" s="28"/>
      <c r="BK70" s="28"/>
      <c r="BL70" s="28"/>
      <c r="BM70" s="28"/>
      <c r="BN70" s="28"/>
      <c r="DK70" s="28"/>
      <c r="DL70" s="6">
        <v>9316</v>
      </c>
      <c r="DM70" s="6">
        <v>61.765000000000001</v>
      </c>
    </row>
    <row r="71" spans="35:117" x14ac:dyDescent="0.35"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  <c r="AW71" s="28"/>
      <c r="AX71" s="28"/>
      <c r="AY71" s="28"/>
      <c r="AZ71" s="28"/>
      <c r="BA71" s="28"/>
      <c r="BB71" s="28"/>
      <c r="BC71" s="28"/>
      <c r="BD71" s="28"/>
      <c r="BE71" s="28"/>
      <c r="BF71" s="28"/>
      <c r="BG71" s="28"/>
      <c r="BH71" s="28"/>
      <c r="BI71" s="28"/>
      <c r="BJ71" s="28"/>
      <c r="BK71" s="28"/>
      <c r="BL71" s="28"/>
      <c r="BM71" s="28"/>
      <c r="BN71" s="28"/>
      <c r="CF71" s="28"/>
      <c r="CG71" s="28"/>
      <c r="CH71" s="28"/>
      <c r="CI71" s="28"/>
      <c r="CJ71" s="28"/>
      <c r="CK71" s="28"/>
      <c r="CL71" s="28"/>
      <c r="CM71" s="28"/>
      <c r="CN71" s="28"/>
      <c r="DK71" s="28"/>
      <c r="DL71" s="6">
        <v>9513</v>
      </c>
      <c r="DM71" s="6">
        <v>59.710999999999999</v>
      </c>
    </row>
    <row r="72" spans="35:117" x14ac:dyDescent="0.35"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  <c r="AW72" s="28"/>
      <c r="AX72" s="28"/>
      <c r="AY72" s="28"/>
      <c r="AZ72" s="28"/>
      <c r="BA72" s="28"/>
      <c r="BB72" s="28"/>
      <c r="BC72" s="28"/>
      <c r="BD72" s="28"/>
      <c r="BE72" s="28"/>
      <c r="BF72" s="28"/>
      <c r="BG72" s="28"/>
      <c r="BH72" s="28"/>
      <c r="BI72" s="28"/>
      <c r="BJ72" s="28"/>
      <c r="BK72" s="28"/>
      <c r="BL72" s="28"/>
      <c r="BM72" s="28"/>
      <c r="BN72" s="28"/>
      <c r="CF72" s="28"/>
      <c r="CG72" s="28"/>
      <c r="CH72" s="28"/>
      <c r="CI72" s="28"/>
      <c r="CJ72" s="28"/>
      <c r="CK72" s="28"/>
      <c r="CL72" s="28"/>
      <c r="CM72" s="28"/>
      <c r="CN72" s="28"/>
      <c r="DK72" s="28"/>
      <c r="DL72" s="6">
        <v>9615</v>
      </c>
      <c r="DM72" s="6">
        <v>59.232999999999997</v>
      </c>
    </row>
    <row r="73" spans="35:117" x14ac:dyDescent="0.35"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  <c r="AX73" s="28"/>
      <c r="AY73" s="28"/>
      <c r="AZ73" s="28"/>
      <c r="BA73" s="28"/>
      <c r="BB73" s="28"/>
      <c r="BC73" s="28"/>
      <c r="BD73" s="28"/>
      <c r="BE73" s="28"/>
      <c r="BF73" s="28"/>
      <c r="BG73" s="28"/>
      <c r="BH73" s="28"/>
      <c r="BI73" s="28"/>
      <c r="BJ73" s="28"/>
      <c r="BK73" s="28"/>
      <c r="BL73" s="28"/>
      <c r="BM73" s="28"/>
      <c r="BN73" s="28"/>
      <c r="CF73" s="28"/>
      <c r="CG73" s="28"/>
      <c r="CH73" s="28"/>
      <c r="CI73" s="28"/>
      <c r="CJ73" s="28"/>
      <c r="CK73" s="28"/>
      <c r="CL73" s="28"/>
      <c r="CM73" s="28"/>
      <c r="CN73" s="28"/>
      <c r="DK73" s="28"/>
      <c r="DL73" s="6">
        <v>9827</v>
      </c>
      <c r="DM73" s="6">
        <v>58.765000000000001</v>
      </c>
    </row>
    <row r="74" spans="35:117" x14ac:dyDescent="0.35"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  <c r="BI74" s="28"/>
      <c r="BJ74" s="28"/>
      <c r="BK74" s="28"/>
      <c r="BL74" s="28"/>
      <c r="BM74" s="28"/>
      <c r="BN74" s="28"/>
      <c r="CF74" s="28"/>
      <c r="CG74" s="28"/>
      <c r="CH74" s="28"/>
      <c r="CI74" s="28"/>
      <c r="CJ74" s="28"/>
      <c r="CK74" s="28"/>
      <c r="CL74" s="28"/>
      <c r="CM74" s="28"/>
      <c r="CN74" s="28"/>
      <c r="DK74" s="28"/>
      <c r="DL74" s="6">
        <v>9973</v>
      </c>
      <c r="DM74" s="6">
        <v>57.646999999999998</v>
      </c>
    </row>
    <row r="75" spans="35:117" x14ac:dyDescent="0.35"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  <c r="AW75" s="28"/>
      <c r="AX75" s="28"/>
      <c r="AY75" s="28"/>
      <c r="AZ75" s="28"/>
      <c r="BA75" s="28"/>
      <c r="BB75" s="28"/>
      <c r="BC75" s="28"/>
      <c r="BD75" s="28"/>
      <c r="BE75" s="28"/>
      <c r="BF75" s="28"/>
      <c r="BG75" s="28"/>
      <c r="BH75" s="28"/>
      <c r="BI75" s="28"/>
      <c r="BJ75" s="28"/>
      <c r="BK75" s="28"/>
      <c r="BL75" s="28"/>
      <c r="BM75" s="28"/>
      <c r="BN75" s="28"/>
      <c r="BW75" s="28"/>
      <c r="BX75" s="28"/>
      <c r="BY75" s="28"/>
      <c r="BZ75" s="28"/>
      <c r="CA75" s="28"/>
      <c r="CB75" s="28"/>
      <c r="CC75" s="28"/>
      <c r="CD75" s="28"/>
      <c r="CE75" s="28"/>
      <c r="CF75" s="28"/>
      <c r="CG75" s="28"/>
      <c r="CH75" s="28"/>
      <c r="CI75" s="28"/>
      <c r="CJ75" s="28"/>
      <c r="CK75" s="28"/>
      <c r="CL75" s="28"/>
      <c r="CM75" s="28"/>
      <c r="CN75" s="28"/>
      <c r="DK75" s="28"/>
      <c r="DL75" s="6">
        <v>10189</v>
      </c>
      <c r="DM75" s="6">
        <v>57.921999999999997</v>
      </c>
    </row>
    <row r="76" spans="35:117" x14ac:dyDescent="0.35"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  <c r="BL76" s="28"/>
      <c r="BM76" s="28"/>
      <c r="BN76" s="28"/>
      <c r="BW76" s="28"/>
      <c r="BX76" s="28"/>
      <c r="BY76" s="28"/>
      <c r="BZ76" s="28"/>
      <c r="CA76" s="28"/>
      <c r="CB76" s="28"/>
      <c r="CC76" s="28"/>
      <c r="CD76" s="28"/>
      <c r="CE76" s="28"/>
      <c r="CF76" s="28"/>
      <c r="CG76" s="28"/>
      <c r="CH76" s="28"/>
      <c r="CI76" s="28"/>
      <c r="CJ76" s="28"/>
      <c r="CK76" s="28"/>
      <c r="CL76" s="28"/>
      <c r="CM76" s="28"/>
      <c r="CN76" s="28"/>
      <c r="DK76" s="28"/>
      <c r="DL76" s="6">
        <v>10503</v>
      </c>
      <c r="DM76" s="6">
        <v>54.594999999999999</v>
      </c>
    </row>
    <row r="77" spans="35:117" x14ac:dyDescent="0.35"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  <c r="AV77" s="28"/>
      <c r="AW77" s="28"/>
      <c r="AX77" s="28"/>
      <c r="AY77" s="28"/>
      <c r="AZ77" s="28"/>
      <c r="BA77" s="28"/>
      <c r="BB77" s="28"/>
      <c r="BC77" s="28"/>
      <c r="BD77" s="28"/>
      <c r="BE77" s="28"/>
      <c r="BF77" s="28"/>
      <c r="BG77" s="28"/>
      <c r="BH77" s="28"/>
      <c r="BI77" s="28"/>
      <c r="BJ77" s="28"/>
      <c r="BK77" s="28"/>
      <c r="BL77" s="28"/>
      <c r="BM77" s="28"/>
      <c r="BN77" s="28"/>
      <c r="BW77" s="28"/>
      <c r="BX77" s="28"/>
      <c r="BY77" s="28"/>
      <c r="BZ77" s="28"/>
      <c r="CA77" s="28"/>
      <c r="CB77" s="28"/>
      <c r="CC77" s="28"/>
      <c r="CD77" s="28"/>
      <c r="CE77" s="28"/>
      <c r="CF77" s="28"/>
      <c r="CG77" s="28"/>
      <c r="CH77" s="28"/>
      <c r="CI77" s="28"/>
      <c r="CJ77" s="28"/>
      <c r="CK77" s="28"/>
      <c r="CL77" s="28"/>
      <c r="CM77" s="28"/>
      <c r="CN77" s="28"/>
      <c r="DK77" s="28"/>
      <c r="DL77" s="6">
        <v>10634</v>
      </c>
      <c r="DM77" s="6">
        <v>56.499000000000002</v>
      </c>
    </row>
    <row r="78" spans="35:117" x14ac:dyDescent="0.35"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28"/>
      <c r="BL78" s="28"/>
      <c r="BM78" s="28"/>
      <c r="BN78" s="28"/>
      <c r="BW78" s="28"/>
      <c r="BX78" s="28"/>
      <c r="BY78" s="28"/>
      <c r="BZ78" s="28"/>
      <c r="CA78" s="28"/>
      <c r="CB78" s="28"/>
      <c r="CC78" s="28"/>
      <c r="CD78" s="28"/>
      <c r="CE78" s="28"/>
      <c r="CF78" s="28"/>
      <c r="CG78" s="28"/>
      <c r="CH78" s="28"/>
      <c r="CI78" s="28"/>
      <c r="CJ78" s="28"/>
      <c r="CK78" s="28"/>
      <c r="CL78" s="28"/>
      <c r="CM78" s="28"/>
      <c r="CN78" s="28"/>
      <c r="DK78" s="19" t="s">
        <v>54</v>
      </c>
      <c r="DL78" s="9">
        <v>10907</v>
      </c>
      <c r="DM78" s="9">
        <v>56.07</v>
      </c>
    </row>
    <row r="79" spans="35:117" x14ac:dyDescent="0.35">
      <c r="BW79" s="28"/>
      <c r="BX79" s="28"/>
      <c r="BY79" s="28"/>
      <c r="BZ79" s="28"/>
      <c r="CA79" s="28"/>
      <c r="CB79" s="28"/>
      <c r="CC79" s="28"/>
      <c r="CD79" s="28"/>
      <c r="CE79" s="28"/>
      <c r="CF79" s="28"/>
      <c r="CG79" s="28"/>
      <c r="CH79" s="28"/>
      <c r="CI79" s="28"/>
      <c r="CJ79" s="28"/>
      <c r="CK79" s="28"/>
      <c r="CL79" s="28"/>
      <c r="CM79" s="28"/>
      <c r="CN79" s="28"/>
    </row>
    <row r="80" spans="35:117" x14ac:dyDescent="0.35">
      <c r="BW80" s="28"/>
      <c r="BX80" s="28"/>
      <c r="BY80" s="28"/>
      <c r="BZ80" s="28"/>
      <c r="CA80" s="28"/>
      <c r="CB80" s="28"/>
      <c r="CC80" s="28"/>
      <c r="CD80" s="28"/>
      <c r="CE80" s="28"/>
      <c r="CF80" s="28"/>
      <c r="CG80" s="28"/>
      <c r="CH80" s="28"/>
      <c r="CI80" s="28"/>
      <c r="CJ80" s="28"/>
      <c r="CK80" s="28"/>
      <c r="CL80" s="28"/>
      <c r="CM80" s="28"/>
      <c r="CN80" s="28"/>
    </row>
    <row r="81" spans="75:110" x14ac:dyDescent="0.35">
      <c r="BW81" s="28"/>
      <c r="BX81" s="28"/>
      <c r="BY81" s="28"/>
      <c r="BZ81" s="28"/>
      <c r="CA81" s="28"/>
      <c r="CB81" s="28"/>
      <c r="CC81" s="28"/>
      <c r="CD81" s="28"/>
      <c r="CE81" s="28"/>
      <c r="CF81" s="28"/>
      <c r="CG81" s="28"/>
      <c r="CH81" s="28"/>
      <c r="CI81" s="28"/>
      <c r="CJ81" s="28"/>
      <c r="CK81" s="28"/>
      <c r="CL81" s="28"/>
      <c r="CM81" s="28"/>
      <c r="CN81" s="28"/>
    </row>
    <row r="82" spans="75:110" x14ac:dyDescent="0.35">
      <c r="BW82" s="28"/>
      <c r="BX82" s="28"/>
      <c r="BY82" s="28"/>
      <c r="BZ82" s="28"/>
      <c r="CA82" s="28"/>
      <c r="CB82" s="28"/>
      <c r="CC82" s="28"/>
      <c r="CD82" s="28"/>
      <c r="CE82" s="28"/>
      <c r="CF82" s="28"/>
      <c r="CG82" s="28"/>
      <c r="CH82" s="28"/>
      <c r="CI82" s="28"/>
      <c r="CJ82" s="28"/>
      <c r="CK82" s="28"/>
      <c r="CL82" s="28"/>
      <c r="CM82" s="28"/>
      <c r="CN82" s="28"/>
      <c r="CO82" s="28"/>
      <c r="CP82" s="28"/>
      <c r="CQ82" s="28"/>
      <c r="CR82" s="28"/>
      <c r="CS82" s="28"/>
      <c r="CT82" s="28"/>
      <c r="CU82" s="28"/>
      <c r="CV82" s="28"/>
      <c r="CW82" s="28"/>
    </row>
    <row r="83" spans="75:110" x14ac:dyDescent="0.35">
      <c r="BW83" s="28"/>
      <c r="BX83" s="28"/>
      <c r="BY83" s="28"/>
      <c r="BZ83" s="28"/>
      <c r="CA83" s="28"/>
      <c r="CB83" s="28"/>
      <c r="CC83" s="28"/>
      <c r="CD83" s="28"/>
      <c r="CE83" s="28"/>
      <c r="CF83" s="28"/>
      <c r="CG83" s="28"/>
      <c r="CH83" s="28"/>
      <c r="CI83" s="28"/>
      <c r="CJ83" s="28"/>
      <c r="CK83" s="28"/>
      <c r="CL83" s="28"/>
      <c r="CM83" s="28"/>
      <c r="CN83" s="28"/>
      <c r="CO83" s="28"/>
      <c r="CP83" s="28"/>
      <c r="CQ83" s="28"/>
      <c r="CR83" s="28"/>
      <c r="CS83" s="28"/>
      <c r="CT83" s="28"/>
      <c r="CU83" s="28"/>
      <c r="CV83" s="28"/>
      <c r="CW83" s="28"/>
    </row>
    <row r="84" spans="75:110" x14ac:dyDescent="0.35">
      <c r="BW84" s="28"/>
      <c r="BX84" s="28"/>
      <c r="BY84" s="28"/>
      <c r="BZ84" s="28"/>
      <c r="CA84" s="28"/>
      <c r="CB84" s="28"/>
      <c r="CC84" s="28"/>
      <c r="CD84" s="28"/>
      <c r="CE84" s="28"/>
      <c r="CF84" s="28"/>
      <c r="CG84" s="28"/>
      <c r="CH84" s="28"/>
      <c r="CI84" s="28"/>
      <c r="CJ84" s="28"/>
      <c r="CK84" s="28"/>
      <c r="CL84" s="28"/>
      <c r="CM84" s="28"/>
      <c r="CN84" s="28"/>
      <c r="CO84" s="28"/>
      <c r="CP84" s="28"/>
      <c r="CQ84" s="28"/>
      <c r="CR84" s="28"/>
      <c r="CS84" s="28"/>
      <c r="CT84" s="28"/>
      <c r="CU84" s="28"/>
      <c r="CV84" s="28"/>
      <c r="CW84" s="28"/>
    </row>
    <row r="85" spans="75:110" x14ac:dyDescent="0.35">
      <c r="BW85" s="28"/>
      <c r="BX85" s="28"/>
      <c r="BY85" s="28"/>
      <c r="BZ85" s="28"/>
      <c r="CA85" s="28"/>
      <c r="CB85" s="28"/>
      <c r="CC85" s="28"/>
      <c r="CD85" s="28"/>
      <c r="CE85" s="28"/>
      <c r="CF85" s="28"/>
      <c r="CG85" s="28"/>
      <c r="CH85" s="28"/>
      <c r="CI85" s="28"/>
      <c r="CJ85" s="28"/>
      <c r="CK85" s="28"/>
      <c r="CL85" s="28"/>
      <c r="CM85" s="28"/>
      <c r="CN85" s="28"/>
      <c r="CO85" s="28"/>
      <c r="CP85" s="28"/>
      <c r="CQ85" s="28"/>
      <c r="CR85" s="28"/>
      <c r="CS85" s="28"/>
      <c r="CT85" s="28"/>
      <c r="CU85" s="28"/>
      <c r="CV85" s="28"/>
      <c r="CW85" s="28"/>
      <c r="CX85" s="28"/>
      <c r="CY85" s="28"/>
      <c r="CZ85" s="28"/>
      <c r="DA85" s="28"/>
      <c r="DB85" s="28"/>
      <c r="DC85" s="28"/>
      <c r="DD85" s="28"/>
      <c r="DE85" s="28"/>
      <c r="DF85" s="28"/>
    </row>
    <row r="86" spans="75:110" x14ac:dyDescent="0.35">
      <c r="CY86" s="28"/>
      <c r="CZ86" s="28"/>
      <c r="DA86" s="28"/>
      <c r="DB86" s="28"/>
      <c r="DC86" s="28"/>
      <c r="DD86" s="28"/>
      <c r="DE86" s="28"/>
      <c r="DF86" s="28"/>
    </row>
    <row r="87" spans="75:110" x14ac:dyDescent="0.35">
      <c r="CY87" s="28"/>
      <c r="CZ87" s="28"/>
      <c r="DA87" s="28"/>
      <c r="DB87" s="28"/>
      <c r="DC87" s="28"/>
      <c r="DD87" s="28"/>
      <c r="DE87" s="28"/>
      <c r="DF87" s="28"/>
    </row>
    <row r="88" spans="75:110" x14ac:dyDescent="0.35">
      <c r="CY88" s="28"/>
      <c r="CZ88" s="28"/>
      <c r="DA88" s="28"/>
      <c r="DB88" s="28"/>
      <c r="DC88" s="28"/>
      <c r="DD88" s="28"/>
      <c r="DE88" s="28"/>
      <c r="DF88" s="28"/>
    </row>
    <row r="89" spans="75:110" x14ac:dyDescent="0.35">
      <c r="CY89" s="28"/>
      <c r="CZ89" s="28"/>
      <c r="DA89" s="28"/>
      <c r="DB89" s="28"/>
      <c r="DC89" s="28"/>
      <c r="DD89" s="28"/>
      <c r="DE89" s="28"/>
      <c r="DF89" s="28"/>
    </row>
    <row r="90" spans="75:110" x14ac:dyDescent="0.35">
      <c r="CY90" s="28"/>
      <c r="CZ90" s="28"/>
      <c r="DA90" s="28"/>
      <c r="DB90" s="28"/>
      <c r="DC90" s="28"/>
      <c r="DD90" s="28"/>
      <c r="DE90" s="28"/>
      <c r="DF90" s="28"/>
    </row>
    <row r="91" spans="75:110" x14ac:dyDescent="0.35">
      <c r="CY91" s="28"/>
      <c r="CZ91" s="28"/>
      <c r="DA91" s="28"/>
      <c r="DB91" s="28"/>
      <c r="DC91" s="28"/>
      <c r="DD91" s="28"/>
      <c r="DE91" s="28"/>
      <c r="DF91" s="28"/>
    </row>
    <row r="92" spans="75:110" x14ac:dyDescent="0.35">
      <c r="CY92" s="28"/>
      <c r="CZ92" s="28"/>
      <c r="DA92" s="28"/>
      <c r="DB92" s="28"/>
      <c r="DC92" s="28"/>
      <c r="DD92" s="28"/>
      <c r="DE92" s="28"/>
      <c r="DF92" s="28"/>
    </row>
    <row r="93" spans="75:110" x14ac:dyDescent="0.35">
      <c r="CY93" s="28"/>
      <c r="CZ93" s="28"/>
      <c r="DA93" s="28"/>
      <c r="DB93" s="28"/>
      <c r="DC93" s="28"/>
      <c r="DD93" s="28"/>
      <c r="DE93" s="28"/>
      <c r="DF93" s="28"/>
    </row>
    <row r="94" spans="75:110" x14ac:dyDescent="0.35">
      <c r="CY94" s="28"/>
      <c r="CZ94" s="28"/>
      <c r="DA94" s="28"/>
      <c r="DB94" s="28"/>
      <c r="DC94" s="28"/>
      <c r="DD94" s="28"/>
      <c r="DE94" s="28"/>
      <c r="DF94" s="28"/>
    </row>
    <row r="95" spans="75:110" x14ac:dyDescent="0.35">
      <c r="CY95" s="28"/>
      <c r="CZ95" s="28"/>
      <c r="DA95" s="28"/>
      <c r="DB95" s="28"/>
      <c r="DC95" s="28"/>
      <c r="DD95" s="28"/>
      <c r="DE95" s="28"/>
      <c r="DF95" s="28"/>
    </row>
    <row r="96" spans="75:110" x14ac:dyDescent="0.35">
      <c r="CY96" s="28"/>
      <c r="CZ96" s="28"/>
      <c r="DA96" s="28"/>
      <c r="DB96" s="28"/>
      <c r="DC96" s="28"/>
      <c r="DD96" s="28"/>
      <c r="DE96" s="28"/>
      <c r="DF96" s="28"/>
    </row>
    <row r="97" spans="103:119" x14ac:dyDescent="0.35">
      <c r="CY97" s="28"/>
      <c r="CZ97" s="28"/>
      <c r="DA97" s="28"/>
      <c r="DB97" s="28"/>
      <c r="DC97" s="28"/>
      <c r="DD97" s="28"/>
      <c r="DE97" s="28"/>
      <c r="DF97" s="28"/>
    </row>
    <row r="98" spans="103:119" x14ac:dyDescent="0.35">
      <c r="CY98" s="28"/>
      <c r="CZ98" s="28"/>
      <c r="DA98" s="28"/>
      <c r="DB98" s="28"/>
      <c r="DC98" s="28"/>
      <c r="DD98" s="28"/>
      <c r="DE98" s="28"/>
      <c r="DF98" s="28"/>
    </row>
    <row r="99" spans="103:119" x14ac:dyDescent="0.35">
      <c r="CY99" s="28"/>
      <c r="CZ99" s="28"/>
      <c r="DA99" s="28"/>
      <c r="DB99" s="28"/>
      <c r="DC99" s="28"/>
      <c r="DD99" s="28"/>
      <c r="DE99" s="28"/>
      <c r="DF99" s="28"/>
      <c r="DG99" s="28"/>
      <c r="DH99" s="28"/>
      <c r="DI99" s="28"/>
      <c r="DJ99" s="28"/>
      <c r="DK99" s="28"/>
      <c r="DL99" s="28"/>
      <c r="DM99" s="28"/>
      <c r="DN99" s="28"/>
      <c r="DO99" s="28"/>
    </row>
    <row r="100" spans="103:119" x14ac:dyDescent="0.35">
      <c r="CY100" s="28"/>
      <c r="CZ100" s="28"/>
      <c r="DA100" s="28"/>
      <c r="DB100" s="28"/>
      <c r="DC100" s="28"/>
      <c r="DD100" s="28"/>
      <c r="DE100" s="28"/>
      <c r="DF100" s="28"/>
      <c r="DG100" s="28"/>
      <c r="DH100" s="28"/>
      <c r="DI100" s="28"/>
      <c r="DJ100" s="28"/>
      <c r="DK100" s="28"/>
      <c r="DL100" s="28"/>
      <c r="DM100" s="28"/>
      <c r="DN100" s="28"/>
      <c r="DO100" s="28"/>
    </row>
  </sheetData>
  <mergeCells count="40">
    <mergeCell ref="DO1:DP1"/>
    <mergeCell ref="DF1:DG1"/>
    <mergeCell ref="DI1:DJ1"/>
    <mergeCell ref="CN1:CO1"/>
    <mergeCell ref="CQ1:CR1"/>
    <mergeCell ref="CW1:CX1"/>
    <mergeCell ref="CZ1:DA1"/>
    <mergeCell ref="DL1:DM1"/>
    <mergeCell ref="CH1:CI1"/>
    <mergeCell ref="BM1:BN1"/>
    <mergeCell ref="BP1:BQ1"/>
    <mergeCell ref="BV1:BW1"/>
    <mergeCell ref="BY1:BZ1"/>
    <mergeCell ref="T1:U1"/>
    <mergeCell ref="W1:X1"/>
    <mergeCell ref="Z1:AA1"/>
    <mergeCell ref="AF1:AG1"/>
    <mergeCell ref="B1:C1"/>
    <mergeCell ref="E1:F1"/>
    <mergeCell ref="H1:I1"/>
    <mergeCell ref="K1:L1"/>
    <mergeCell ref="N1:O1"/>
    <mergeCell ref="Q1:R1"/>
    <mergeCell ref="AC1:AD1"/>
    <mergeCell ref="AI1:AJ1"/>
    <mergeCell ref="DC1:DD1"/>
    <mergeCell ref="CT1:CU1"/>
    <mergeCell ref="CK1:CL1"/>
    <mergeCell ref="BS1:BT1"/>
    <mergeCell ref="AU1:AV1"/>
    <mergeCell ref="AR1:AS1"/>
    <mergeCell ref="AO1:AP1"/>
    <mergeCell ref="AL1:AM1"/>
    <mergeCell ref="AX1:AY1"/>
    <mergeCell ref="BA1:BB1"/>
    <mergeCell ref="BD1:BE1"/>
    <mergeCell ref="BG1:BH1"/>
    <mergeCell ref="BJ1:BK1"/>
    <mergeCell ref="CB1:CC1"/>
    <mergeCell ref="CE1:CF1"/>
  </mergeCell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0"/>
  <dimension ref="A1:AY56"/>
  <sheetViews>
    <sheetView topLeftCell="F1" zoomScaleNormal="100" workbookViewId="0">
      <pane ySplit="2" topLeftCell="A6" activePane="bottomLeft" state="frozen"/>
      <selection pane="bottomLeft" activeCell="N26" sqref="N26"/>
    </sheetView>
  </sheetViews>
  <sheetFormatPr defaultRowHeight="14.5" x14ac:dyDescent="0.35"/>
  <sheetData>
    <row r="1" spans="2:51" x14ac:dyDescent="0.35">
      <c r="B1" s="99" t="s">
        <v>303</v>
      </c>
      <c r="C1" s="100"/>
      <c r="D1" s="72"/>
      <c r="E1" s="99" t="s">
        <v>304</v>
      </c>
      <c r="F1" s="100"/>
      <c r="G1" s="72"/>
      <c r="H1" s="99" t="s">
        <v>305</v>
      </c>
      <c r="I1" s="100"/>
      <c r="J1" s="72"/>
      <c r="K1" s="99" t="s">
        <v>306</v>
      </c>
      <c r="L1" s="100"/>
      <c r="M1" s="72"/>
      <c r="N1" s="99" t="s">
        <v>307</v>
      </c>
      <c r="O1" s="100"/>
      <c r="P1" s="72"/>
      <c r="Q1" s="99" t="s">
        <v>308</v>
      </c>
      <c r="R1" s="100"/>
      <c r="S1" s="72"/>
      <c r="T1" s="99" t="s">
        <v>309</v>
      </c>
      <c r="U1" s="100"/>
      <c r="V1" s="72"/>
      <c r="W1" s="99" t="s">
        <v>310</v>
      </c>
      <c r="X1" s="100"/>
      <c r="Y1" s="72"/>
      <c r="Z1" s="99" t="s">
        <v>311</v>
      </c>
      <c r="AA1" s="100"/>
      <c r="AB1" s="72"/>
      <c r="AC1" s="99" t="s">
        <v>312</v>
      </c>
      <c r="AD1" s="100"/>
      <c r="AE1" s="72"/>
      <c r="AF1" s="99" t="s">
        <v>313</v>
      </c>
      <c r="AG1" s="100"/>
      <c r="AH1" s="72"/>
      <c r="AI1" s="96" t="s">
        <v>314</v>
      </c>
      <c r="AJ1" s="97"/>
      <c r="AK1" s="72"/>
      <c r="AL1" s="96" t="s">
        <v>315</v>
      </c>
      <c r="AM1" s="97"/>
      <c r="AN1" s="72"/>
      <c r="AO1" s="96" t="s">
        <v>316</v>
      </c>
      <c r="AP1" s="97"/>
      <c r="AQ1" s="72"/>
      <c r="AR1" s="96" t="s">
        <v>317</v>
      </c>
      <c r="AS1" s="97"/>
      <c r="AT1" s="72"/>
      <c r="AU1" s="96" t="s">
        <v>318</v>
      </c>
      <c r="AV1" s="97"/>
      <c r="AW1" s="72"/>
      <c r="AX1" s="101"/>
      <c r="AY1" s="101"/>
    </row>
    <row r="2" spans="2:51" x14ac:dyDescent="0.35">
      <c r="B2" s="1" t="s">
        <v>32</v>
      </c>
      <c r="C2" s="1" t="s">
        <v>33</v>
      </c>
      <c r="D2" s="72"/>
      <c r="E2" s="1" t="s">
        <v>32</v>
      </c>
      <c r="F2" s="1" t="s">
        <v>33</v>
      </c>
      <c r="G2" s="72"/>
      <c r="H2" s="1" t="s">
        <v>32</v>
      </c>
      <c r="I2" s="1" t="s">
        <v>33</v>
      </c>
      <c r="J2" s="72"/>
      <c r="K2" s="1" t="s">
        <v>32</v>
      </c>
      <c r="L2" s="1" t="s">
        <v>33</v>
      </c>
      <c r="M2" s="72"/>
      <c r="N2" s="1" t="s">
        <v>32</v>
      </c>
      <c r="O2" s="1" t="s">
        <v>33</v>
      </c>
      <c r="P2" s="72"/>
      <c r="Q2" s="1" t="s">
        <v>32</v>
      </c>
      <c r="R2" s="1" t="s">
        <v>33</v>
      </c>
      <c r="S2" s="72"/>
      <c r="T2" s="1" t="s">
        <v>32</v>
      </c>
      <c r="U2" s="1" t="s">
        <v>33</v>
      </c>
      <c r="V2" s="72"/>
      <c r="W2" s="1" t="s">
        <v>32</v>
      </c>
      <c r="X2" s="1" t="s">
        <v>33</v>
      </c>
      <c r="Y2" s="72"/>
      <c r="Z2" s="1" t="s">
        <v>32</v>
      </c>
      <c r="AA2" s="1" t="s">
        <v>33</v>
      </c>
      <c r="AB2" s="72"/>
      <c r="AC2" s="1" t="s">
        <v>32</v>
      </c>
      <c r="AD2" s="1" t="s">
        <v>33</v>
      </c>
      <c r="AE2" s="72"/>
      <c r="AF2" s="1" t="s">
        <v>32</v>
      </c>
      <c r="AG2" s="1" t="s">
        <v>33</v>
      </c>
      <c r="AH2" s="72"/>
      <c r="AI2" s="1" t="s">
        <v>32</v>
      </c>
      <c r="AJ2" s="1" t="s">
        <v>33</v>
      </c>
      <c r="AK2" s="72"/>
      <c r="AL2" s="1" t="s">
        <v>32</v>
      </c>
      <c r="AM2" s="1" t="s">
        <v>33</v>
      </c>
      <c r="AN2" s="72"/>
      <c r="AO2" s="1" t="s">
        <v>32</v>
      </c>
      <c r="AP2" s="1" t="s">
        <v>33</v>
      </c>
      <c r="AQ2" s="72"/>
      <c r="AR2" s="1" t="s">
        <v>32</v>
      </c>
      <c r="AS2" s="1" t="s">
        <v>33</v>
      </c>
      <c r="AT2" s="72"/>
      <c r="AU2" s="1" t="s">
        <v>32</v>
      </c>
      <c r="AV2" s="1" t="s">
        <v>33</v>
      </c>
      <c r="AW2" s="72"/>
      <c r="AX2" s="72"/>
      <c r="AY2" s="72"/>
    </row>
    <row r="3" spans="2:51" x14ac:dyDescent="0.35">
      <c r="B3" s="38">
        <v>0</v>
      </c>
      <c r="C3" s="38">
        <v>52.35</v>
      </c>
      <c r="E3" s="38">
        <v>0</v>
      </c>
      <c r="F3" s="38">
        <v>56.59</v>
      </c>
      <c r="H3" s="38">
        <v>0</v>
      </c>
      <c r="I3" s="38">
        <v>58.9</v>
      </c>
      <c r="K3" s="53">
        <v>0</v>
      </c>
      <c r="L3" s="53">
        <v>64.150000000000006</v>
      </c>
      <c r="N3" s="53">
        <v>0</v>
      </c>
      <c r="O3" s="53">
        <v>50.68</v>
      </c>
      <c r="Q3" s="53">
        <v>0</v>
      </c>
      <c r="R3" s="53">
        <v>60.46</v>
      </c>
      <c r="T3" s="53">
        <v>0</v>
      </c>
      <c r="U3" s="53">
        <v>54.38</v>
      </c>
      <c r="W3" s="53">
        <v>0</v>
      </c>
      <c r="X3" s="53">
        <v>44.38</v>
      </c>
      <c r="Z3" s="53">
        <v>0</v>
      </c>
      <c r="AA3" s="53">
        <v>49.99</v>
      </c>
      <c r="AC3" s="53">
        <v>0</v>
      </c>
      <c r="AD3" s="53">
        <v>52.87</v>
      </c>
      <c r="AF3" s="53">
        <v>0</v>
      </c>
      <c r="AG3" s="53">
        <v>56.15</v>
      </c>
      <c r="AI3" s="53">
        <v>0</v>
      </c>
      <c r="AJ3" s="53">
        <v>66.290000000000006</v>
      </c>
      <c r="AL3" s="53">
        <v>0</v>
      </c>
      <c r="AM3" s="53">
        <v>61.518999999999998</v>
      </c>
      <c r="AO3" s="53">
        <v>0</v>
      </c>
      <c r="AP3" s="53">
        <v>58.2</v>
      </c>
      <c r="AR3" s="53">
        <v>0</v>
      </c>
      <c r="AS3" s="53">
        <v>56.5</v>
      </c>
      <c r="AU3" s="38">
        <v>0</v>
      </c>
      <c r="AV3" s="38">
        <v>53.78</v>
      </c>
    </row>
    <row r="4" spans="2:51" x14ac:dyDescent="0.35">
      <c r="B4" s="38">
        <v>239</v>
      </c>
      <c r="C4" s="38">
        <v>53.9</v>
      </c>
      <c r="E4" s="38">
        <v>529</v>
      </c>
      <c r="F4" s="38">
        <v>57.499000000000002</v>
      </c>
      <c r="H4" s="53">
        <v>82</v>
      </c>
      <c r="I4" s="53">
        <v>58.52</v>
      </c>
      <c r="K4" s="53">
        <v>286</v>
      </c>
      <c r="L4" s="53">
        <v>64.171000000000006</v>
      </c>
      <c r="N4" s="53">
        <v>98</v>
      </c>
      <c r="O4" s="53">
        <v>48.161999999999999</v>
      </c>
      <c r="Q4" s="53">
        <v>353</v>
      </c>
      <c r="R4" s="53">
        <v>59.069000000000003</v>
      </c>
      <c r="T4" s="53">
        <v>88</v>
      </c>
      <c r="U4" s="53">
        <v>55.453000000000003</v>
      </c>
      <c r="W4" s="53">
        <v>367</v>
      </c>
      <c r="X4" s="53">
        <v>48.61</v>
      </c>
      <c r="Z4" s="53">
        <v>171</v>
      </c>
      <c r="AA4" s="53">
        <v>50.301000000000002</v>
      </c>
      <c r="AC4" s="38">
        <v>85</v>
      </c>
      <c r="AD4" s="38">
        <v>52.917000000000002</v>
      </c>
      <c r="AF4" s="38">
        <v>309</v>
      </c>
      <c r="AG4" s="38">
        <v>51.177999999999997</v>
      </c>
      <c r="AI4" s="53">
        <v>145</v>
      </c>
      <c r="AJ4" s="53">
        <v>65.066999999999993</v>
      </c>
      <c r="AL4" s="53">
        <v>99</v>
      </c>
      <c r="AM4" s="53">
        <v>61.555</v>
      </c>
      <c r="AO4" s="53">
        <v>62</v>
      </c>
      <c r="AP4" s="53">
        <v>57.661999999999999</v>
      </c>
      <c r="AR4" s="53">
        <v>101</v>
      </c>
      <c r="AS4" s="53">
        <v>57.100999999999999</v>
      </c>
      <c r="AU4" s="53">
        <v>214</v>
      </c>
      <c r="AV4" s="53">
        <v>54.453000000000003</v>
      </c>
    </row>
    <row r="5" spans="2:51" x14ac:dyDescent="0.35">
      <c r="B5" s="38">
        <v>343</v>
      </c>
      <c r="C5" s="38">
        <v>53.59</v>
      </c>
      <c r="E5" s="38">
        <v>634</v>
      </c>
      <c r="F5" s="38">
        <v>56.228999999999999</v>
      </c>
      <c r="H5" s="53">
        <v>162</v>
      </c>
      <c r="I5" s="53">
        <v>58.92</v>
      </c>
      <c r="K5" s="53">
        <v>382</v>
      </c>
      <c r="L5" s="53">
        <v>62.981000000000002</v>
      </c>
      <c r="N5" s="53">
        <v>189</v>
      </c>
      <c r="O5" s="53">
        <v>48.941000000000003</v>
      </c>
      <c r="Q5" s="53">
        <v>443</v>
      </c>
      <c r="R5" s="53">
        <v>58.34</v>
      </c>
      <c r="T5" s="53">
        <v>180</v>
      </c>
      <c r="U5" s="53">
        <v>54.985999999999997</v>
      </c>
      <c r="W5" s="53">
        <v>537</v>
      </c>
      <c r="X5" s="53">
        <v>46.276000000000003</v>
      </c>
      <c r="Z5" s="53">
        <v>303</v>
      </c>
      <c r="AA5" s="53">
        <v>47.844000000000001</v>
      </c>
      <c r="AC5" s="53">
        <v>189</v>
      </c>
      <c r="AD5" s="53">
        <v>48.387</v>
      </c>
      <c r="AF5" s="53">
        <v>529</v>
      </c>
      <c r="AG5" s="53">
        <v>56.122</v>
      </c>
      <c r="AI5" s="53">
        <v>268</v>
      </c>
      <c r="AJ5" s="53">
        <v>64.992999999999995</v>
      </c>
      <c r="AL5" s="53">
        <v>195</v>
      </c>
      <c r="AM5" s="53">
        <v>62.271999999999998</v>
      </c>
      <c r="AO5" s="53">
        <v>209</v>
      </c>
      <c r="AP5" s="53">
        <v>58.966999999999999</v>
      </c>
      <c r="AR5" s="53">
        <v>232</v>
      </c>
      <c r="AS5" s="53">
        <v>57.695999999999998</v>
      </c>
      <c r="AU5" s="53">
        <v>310</v>
      </c>
      <c r="AV5" s="53">
        <v>53.442999999999998</v>
      </c>
    </row>
    <row r="6" spans="2:51" x14ac:dyDescent="0.35">
      <c r="B6" s="38">
        <v>415</v>
      </c>
      <c r="C6" s="38">
        <v>49.753999999999998</v>
      </c>
      <c r="E6" s="38">
        <v>730</v>
      </c>
      <c r="F6" s="38">
        <v>55.399000000000001</v>
      </c>
      <c r="H6" s="53">
        <v>352</v>
      </c>
      <c r="I6" s="53">
        <v>57.154000000000003</v>
      </c>
      <c r="K6" s="53">
        <v>493</v>
      </c>
      <c r="L6" s="53">
        <v>63.155000000000001</v>
      </c>
      <c r="N6" s="53">
        <v>280</v>
      </c>
      <c r="O6" s="53">
        <v>49.973999999999997</v>
      </c>
      <c r="Q6" s="53">
        <v>569</v>
      </c>
      <c r="R6" s="53">
        <v>58.283999999999999</v>
      </c>
      <c r="T6" s="53">
        <v>278</v>
      </c>
      <c r="U6" s="53">
        <v>57.112000000000002</v>
      </c>
      <c r="W6" s="53">
        <v>629</v>
      </c>
      <c r="X6" s="53">
        <v>47.877000000000002</v>
      </c>
      <c r="Z6" s="53">
        <v>402</v>
      </c>
      <c r="AA6" s="53">
        <v>47.965000000000003</v>
      </c>
      <c r="AC6" s="53">
        <v>287</v>
      </c>
      <c r="AD6" s="53">
        <v>47.843000000000004</v>
      </c>
      <c r="AF6" s="53">
        <v>735</v>
      </c>
      <c r="AG6" s="53">
        <v>55.872</v>
      </c>
      <c r="AI6" s="53">
        <v>480</v>
      </c>
      <c r="AJ6" s="53">
        <v>64.674000000000007</v>
      </c>
      <c r="AL6" s="53">
        <v>293</v>
      </c>
      <c r="AM6" s="53">
        <v>61.930999999999997</v>
      </c>
      <c r="AO6" s="53">
        <v>396</v>
      </c>
      <c r="AP6" s="53">
        <v>51.646999999999998</v>
      </c>
      <c r="AR6" s="53">
        <v>326</v>
      </c>
      <c r="AS6" s="53">
        <v>56.326000000000001</v>
      </c>
      <c r="AU6" s="53">
        <v>413</v>
      </c>
      <c r="AV6" s="53">
        <v>53.691000000000003</v>
      </c>
    </row>
    <row r="7" spans="2:51" x14ac:dyDescent="0.35">
      <c r="B7" s="38">
        <v>525</v>
      </c>
      <c r="C7" s="38">
        <v>49.579000000000001</v>
      </c>
      <c r="E7" s="38">
        <v>968</v>
      </c>
      <c r="F7" s="38">
        <v>55.027000000000001</v>
      </c>
      <c r="H7" s="53">
        <v>472</v>
      </c>
      <c r="I7" s="53">
        <v>57.722999999999999</v>
      </c>
      <c r="K7" s="53">
        <v>627</v>
      </c>
      <c r="L7" s="53">
        <v>62.682000000000002</v>
      </c>
      <c r="N7" s="53">
        <v>407</v>
      </c>
      <c r="O7" s="53">
        <v>48.524999999999999</v>
      </c>
      <c r="Q7" s="53">
        <v>667</v>
      </c>
      <c r="R7" s="53">
        <v>57.715000000000003</v>
      </c>
      <c r="T7" s="53">
        <v>369</v>
      </c>
      <c r="U7" s="53">
        <v>58.003</v>
      </c>
      <c r="W7" s="53">
        <v>735</v>
      </c>
      <c r="X7" s="53">
        <v>49.747999999999998</v>
      </c>
      <c r="Y7" s="19" t="s">
        <v>124</v>
      </c>
      <c r="Z7" s="9">
        <v>587</v>
      </c>
      <c r="AA7" s="9">
        <v>45.491</v>
      </c>
      <c r="AC7" s="53">
        <v>379</v>
      </c>
      <c r="AD7" s="53">
        <v>46.634999999999998</v>
      </c>
      <c r="AF7" s="53">
        <v>954</v>
      </c>
      <c r="AG7" s="53">
        <v>54.232999999999997</v>
      </c>
      <c r="AI7" s="53">
        <v>695</v>
      </c>
      <c r="AJ7" s="53">
        <v>64.403999999999996</v>
      </c>
      <c r="AL7" s="53">
        <v>392</v>
      </c>
      <c r="AM7" s="53">
        <v>63.642000000000003</v>
      </c>
      <c r="AO7" s="53">
        <v>444</v>
      </c>
      <c r="AP7" s="53">
        <v>56.11</v>
      </c>
      <c r="AR7" s="53">
        <v>456</v>
      </c>
      <c r="AS7" s="53">
        <v>56.265000000000001</v>
      </c>
      <c r="AU7" s="53">
        <v>523</v>
      </c>
      <c r="AV7" s="53">
        <v>52.094999999999999</v>
      </c>
    </row>
    <row r="8" spans="2:51" x14ac:dyDescent="0.35">
      <c r="B8" s="38">
        <v>634</v>
      </c>
      <c r="C8" s="38">
        <v>50.923999999999999</v>
      </c>
      <c r="E8" s="38">
        <v>1064</v>
      </c>
      <c r="F8" s="38">
        <v>56.747</v>
      </c>
      <c r="H8" s="53">
        <v>574</v>
      </c>
      <c r="I8" s="53">
        <v>58.445999999999998</v>
      </c>
      <c r="K8" s="53">
        <v>864</v>
      </c>
      <c r="L8" s="53">
        <v>62.341999999999999</v>
      </c>
      <c r="N8" s="53">
        <v>614</v>
      </c>
      <c r="O8" s="53">
        <v>42.192999999999998</v>
      </c>
      <c r="Q8" s="53">
        <v>1031</v>
      </c>
      <c r="R8" s="53">
        <v>55.558999999999997</v>
      </c>
      <c r="T8" s="53">
        <v>682</v>
      </c>
      <c r="U8" s="53">
        <v>59.415999999999997</v>
      </c>
      <c r="W8" s="53">
        <v>833</v>
      </c>
      <c r="X8" s="53">
        <v>51.357999999999997</v>
      </c>
      <c r="Z8" s="53">
        <v>805</v>
      </c>
      <c r="AA8" s="53">
        <v>51.506999999999998</v>
      </c>
      <c r="AC8" s="53">
        <v>497</v>
      </c>
      <c r="AD8" s="53">
        <v>46.996000000000002</v>
      </c>
      <c r="AF8" s="53">
        <v>1060</v>
      </c>
      <c r="AG8" s="53">
        <v>54.182000000000002</v>
      </c>
      <c r="AI8" s="53">
        <v>822</v>
      </c>
      <c r="AJ8" s="53">
        <v>63.472000000000001</v>
      </c>
      <c r="AL8" s="53">
        <v>563</v>
      </c>
      <c r="AM8" s="53">
        <v>63.247</v>
      </c>
      <c r="AO8" s="53">
        <v>669</v>
      </c>
      <c r="AP8" s="53">
        <v>57.427</v>
      </c>
      <c r="AR8" s="53">
        <v>577</v>
      </c>
      <c r="AS8" s="53">
        <v>54.86</v>
      </c>
      <c r="AU8" s="53">
        <v>616</v>
      </c>
      <c r="AV8" s="53">
        <v>50.076000000000001</v>
      </c>
    </row>
    <row r="9" spans="2:51" x14ac:dyDescent="0.35">
      <c r="B9" s="38">
        <v>738</v>
      </c>
      <c r="C9" s="38">
        <v>51.378999999999998</v>
      </c>
      <c r="E9" s="38">
        <v>1179</v>
      </c>
      <c r="F9" s="38">
        <v>56.793999999999997</v>
      </c>
      <c r="H9" s="53">
        <v>670</v>
      </c>
      <c r="I9" s="53">
        <v>59.372999999999998</v>
      </c>
      <c r="K9" s="53">
        <v>1050</v>
      </c>
      <c r="L9" s="53">
        <v>62.311</v>
      </c>
      <c r="N9" s="53">
        <v>718</v>
      </c>
      <c r="O9" s="53">
        <v>44.688000000000002</v>
      </c>
      <c r="Q9" s="53">
        <v>1265</v>
      </c>
      <c r="R9" s="53">
        <v>55.343000000000004</v>
      </c>
      <c r="T9" s="53">
        <v>798</v>
      </c>
      <c r="U9" s="53">
        <v>57.021999999999998</v>
      </c>
      <c r="W9" s="53">
        <v>927</v>
      </c>
      <c r="X9" s="53">
        <v>51.392000000000003</v>
      </c>
      <c r="Z9" s="53">
        <v>900</v>
      </c>
      <c r="AA9" s="53">
        <v>51.857999999999997</v>
      </c>
      <c r="AB9" s="13" t="s">
        <v>320</v>
      </c>
      <c r="AC9" s="15">
        <v>629</v>
      </c>
      <c r="AD9" s="15">
        <v>46.191000000000003</v>
      </c>
      <c r="AF9" s="53">
        <v>1176</v>
      </c>
      <c r="AG9" s="53">
        <v>52.125999999999998</v>
      </c>
      <c r="AI9" s="53">
        <v>958</v>
      </c>
      <c r="AJ9" s="53">
        <v>63.137</v>
      </c>
      <c r="AL9" s="53">
        <v>680</v>
      </c>
      <c r="AM9" s="53">
        <v>63.953000000000003</v>
      </c>
      <c r="AO9" s="53">
        <v>748</v>
      </c>
      <c r="AP9" s="53">
        <v>54.194000000000003</v>
      </c>
      <c r="AR9" s="53">
        <v>672</v>
      </c>
      <c r="AS9" s="53">
        <v>56.512</v>
      </c>
      <c r="AU9" s="53">
        <v>716</v>
      </c>
      <c r="AV9" s="53">
        <v>48.594999999999999</v>
      </c>
    </row>
    <row r="10" spans="2:51" x14ac:dyDescent="0.35">
      <c r="B10" s="38">
        <v>859</v>
      </c>
      <c r="C10" s="38">
        <v>51.127000000000002</v>
      </c>
      <c r="E10" s="38">
        <v>1274</v>
      </c>
      <c r="F10" s="38">
        <v>56.11</v>
      </c>
      <c r="H10" s="53">
        <v>800</v>
      </c>
      <c r="I10" s="53">
        <v>60.033000000000001</v>
      </c>
      <c r="K10" s="53">
        <v>1274</v>
      </c>
      <c r="L10" s="53">
        <v>60.296999999999997</v>
      </c>
      <c r="N10" s="53">
        <v>819</v>
      </c>
      <c r="O10" s="53">
        <v>47.015999999999998</v>
      </c>
      <c r="Q10" s="53">
        <v>1375</v>
      </c>
      <c r="R10" s="53">
        <v>52.247999999999998</v>
      </c>
      <c r="T10" s="53">
        <v>994</v>
      </c>
      <c r="U10" s="53">
        <v>56.420999999999999</v>
      </c>
      <c r="W10" s="53">
        <v>1019</v>
      </c>
      <c r="X10" s="53">
        <v>50.71</v>
      </c>
      <c r="Z10" s="53">
        <v>1005</v>
      </c>
      <c r="AA10" s="53">
        <v>53.813000000000002</v>
      </c>
      <c r="AC10" s="53">
        <v>741</v>
      </c>
      <c r="AD10" s="53">
        <v>47.305999999999997</v>
      </c>
      <c r="AF10" s="53">
        <v>1355</v>
      </c>
      <c r="AG10" s="53">
        <v>46.69</v>
      </c>
      <c r="AI10" s="53">
        <v>1057</v>
      </c>
      <c r="AJ10" s="53">
        <v>63.177999999999997</v>
      </c>
      <c r="AL10" s="53">
        <v>778</v>
      </c>
      <c r="AM10" s="53">
        <v>62.914000000000001</v>
      </c>
      <c r="AO10" s="53">
        <v>1129</v>
      </c>
      <c r="AP10" s="53">
        <v>60.26</v>
      </c>
      <c r="AR10" s="53">
        <v>778</v>
      </c>
      <c r="AS10" s="53">
        <v>55.683</v>
      </c>
      <c r="AU10" s="53">
        <v>825</v>
      </c>
      <c r="AV10" s="53">
        <v>46.087000000000003</v>
      </c>
    </row>
    <row r="11" spans="2:51" x14ac:dyDescent="0.35">
      <c r="B11" s="38">
        <v>1152</v>
      </c>
      <c r="C11" s="38">
        <v>53.45</v>
      </c>
      <c r="E11" s="38">
        <v>1366</v>
      </c>
      <c r="F11" s="38">
        <v>56.503</v>
      </c>
      <c r="H11" s="53">
        <v>1015</v>
      </c>
      <c r="I11" s="53">
        <v>58.636000000000003</v>
      </c>
      <c r="K11" s="53">
        <v>1376</v>
      </c>
      <c r="L11" s="53">
        <v>60.420999999999999</v>
      </c>
      <c r="N11" s="53">
        <v>916</v>
      </c>
      <c r="O11" s="53">
        <v>49.103000000000002</v>
      </c>
      <c r="Q11" s="53">
        <v>1488</v>
      </c>
      <c r="R11" s="53">
        <v>51.350999999999999</v>
      </c>
      <c r="T11" s="53">
        <v>1234</v>
      </c>
      <c r="U11" s="53">
        <v>57.753999999999998</v>
      </c>
      <c r="W11" s="53">
        <v>1119</v>
      </c>
      <c r="X11" s="53">
        <v>50.643000000000001</v>
      </c>
      <c r="Z11" s="53">
        <v>1114</v>
      </c>
      <c r="AA11" s="53">
        <v>53.335000000000001</v>
      </c>
      <c r="AC11" s="53">
        <v>869</v>
      </c>
      <c r="AD11" s="53">
        <v>52.127000000000002</v>
      </c>
      <c r="AF11" s="53">
        <v>1526</v>
      </c>
      <c r="AG11" s="53">
        <v>47.421999999999997</v>
      </c>
      <c r="AI11" s="53">
        <v>1192</v>
      </c>
      <c r="AJ11" s="53">
        <v>63.670999999999999</v>
      </c>
      <c r="AL11" s="53">
        <v>886</v>
      </c>
      <c r="AM11" s="53">
        <v>63.292999999999999</v>
      </c>
      <c r="AO11" s="53">
        <v>1250</v>
      </c>
      <c r="AP11" s="53">
        <v>60.728000000000002</v>
      </c>
      <c r="AR11" s="53">
        <v>899</v>
      </c>
      <c r="AS11" s="53">
        <v>55.585000000000001</v>
      </c>
      <c r="AU11" s="53">
        <v>933</v>
      </c>
      <c r="AV11" s="53">
        <v>45.351999999999997</v>
      </c>
    </row>
    <row r="12" spans="2:51" x14ac:dyDescent="0.35">
      <c r="B12" s="38">
        <v>1251</v>
      </c>
      <c r="C12" s="38">
        <v>53.92</v>
      </c>
      <c r="E12" s="38">
        <v>1459</v>
      </c>
      <c r="F12" s="38">
        <v>57.887</v>
      </c>
      <c r="H12" s="53">
        <v>1137</v>
      </c>
      <c r="I12" s="53">
        <v>58.177</v>
      </c>
      <c r="K12" s="53">
        <v>1467</v>
      </c>
      <c r="L12" s="53">
        <v>59.621000000000002</v>
      </c>
      <c r="N12" s="53">
        <v>1017</v>
      </c>
      <c r="O12" s="53">
        <v>52.173000000000002</v>
      </c>
      <c r="Q12" s="53">
        <v>1610</v>
      </c>
      <c r="R12" s="53">
        <v>54.183</v>
      </c>
      <c r="T12" s="53">
        <v>1335</v>
      </c>
      <c r="U12" s="53">
        <v>56.463999999999999</v>
      </c>
      <c r="W12" s="53">
        <v>1233</v>
      </c>
      <c r="X12" s="53">
        <v>49.750999999999998</v>
      </c>
      <c r="Z12" s="53">
        <v>1219</v>
      </c>
      <c r="AA12" s="53">
        <v>52.857999999999997</v>
      </c>
      <c r="AC12" s="53">
        <v>1015</v>
      </c>
      <c r="AD12" s="53">
        <v>51.485999999999997</v>
      </c>
      <c r="AF12" s="53">
        <v>1632</v>
      </c>
      <c r="AG12" s="53">
        <v>47.36</v>
      </c>
      <c r="AI12" s="53">
        <v>1337</v>
      </c>
      <c r="AJ12" s="53">
        <v>63.026000000000003</v>
      </c>
      <c r="AL12" s="53">
        <v>992</v>
      </c>
      <c r="AM12" s="53">
        <v>63.926000000000002</v>
      </c>
      <c r="AO12" s="53">
        <v>1347</v>
      </c>
      <c r="AP12" s="53">
        <v>60.918999999999997</v>
      </c>
      <c r="AR12" s="53">
        <v>1006</v>
      </c>
      <c r="AS12" s="53">
        <v>55.825000000000003</v>
      </c>
      <c r="AT12" s="19" t="s">
        <v>324</v>
      </c>
      <c r="AU12" s="39">
        <v>1032</v>
      </c>
      <c r="AV12" s="39">
        <v>45.423000000000002</v>
      </c>
    </row>
    <row r="13" spans="2:51" x14ac:dyDescent="0.35">
      <c r="B13" s="38">
        <v>1605</v>
      </c>
      <c r="C13" s="38">
        <v>50.183999999999997</v>
      </c>
      <c r="E13" s="38">
        <v>1549</v>
      </c>
      <c r="F13" s="38">
        <v>56.460999999999999</v>
      </c>
      <c r="G13" s="19" t="s">
        <v>319</v>
      </c>
      <c r="H13" s="39">
        <v>1238</v>
      </c>
      <c r="I13" s="39">
        <v>53.932000000000002</v>
      </c>
      <c r="K13" s="53">
        <v>1599</v>
      </c>
      <c r="L13" s="53">
        <v>58.976999999999997</v>
      </c>
      <c r="N13" s="53">
        <v>1126</v>
      </c>
      <c r="O13" s="53">
        <v>53.216000000000001</v>
      </c>
      <c r="Q13" s="53">
        <v>1716</v>
      </c>
      <c r="R13" s="53">
        <v>56.136000000000003</v>
      </c>
      <c r="S13" s="19" t="s">
        <v>110</v>
      </c>
      <c r="T13" s="9">
        <v>1632</v>
      </c>
      <c r="U13" s="9">
        <v>54.51</v>
      </c>
      <c r="W13" s="53">
        <v>1325</v>
      </c>
      <c r="X13" s="53">
        <v>49.973999999999997</v>
      </c>
      <c r="Z13" s="53">
        <v>1410</v>
      </c>
      <c r="AA13" s="53">
        <v>51.067</v>
      </c>
      <c r="AC13" s="53">
        <v>1140</v>
      </c>
      <c r="AD13" s="53">
        <v>51.865000000000002</v>
      </c>
      <c r="AE13" s="19" t="s">
        <v>124</v>
      </c>
      <c r="AF13" s="9">
        <v>1714</v>
      </c>
      <c r="AG13" s="9">
        <v>47.804000000000002</v>
      </c>
      <c r="AI13" s="53">
        <v>1702</v>
      </c>
      <c r="AJ13" s="53">
        <v>63.412999999999997</v>
      </c>
      <c r="AL13" s="53">
        <v>1097</v>
      </c>
      <c r="AM13" s="53">
        <v>63.728999999999999</v>
      </c>
      <c r="AO13" s="53">
        <v>1568</v>
      </c>
      <c r="AP13" s="53">
        <v>61.494</v>
      </c>
      <c r="AR13" s="53">
        <v>1106</v>
      </c>
      <c r="AS13" s="53">
        <v>55.164999999999999</v>
      </c>
      <c r="AU13" s="53">
        <v>1263</v>
      </c>
      <c r="AV13" s="53">
        <v>46.453000000000003</v>
      </c>
    </row>
    <row r="14" spans="2:51" x14ac:dyDescent="0.35">
      <c r="B14" s="38">
        <v>1834</v>
      </c>
      <c r="C14" s="38">
        <v>50.064999999999998</v>
      </c>
      <c r="E14" s="38">
        <v>1851</v>
      </c>
      <c r="F14" s="38">
        <v>55.801000000000002</v>
      </c>
      <c r="H14" s="53">
        <v>1457</v>
      </c>
      <c r="I14" s="53">
        <v>55.415999999999997</v>
      </c>
      <c r="K14" s="53">
        <v>1848</v>
      </c>
      <c r="L14" s="53">
        <v>58.628999999999998</v>
      </c>
      <c r="N14" s="53">
        <v>1232</v>
      </c>
      <c r="O14" s="53">
        <v>49.23</v>
      </c>
      <c r="Q14" s="53">
        <v>1821</v>
      </c>
      <c r="R14" s="53">
        <v>56.819000000000003</v>
      </c>
      <c r="T14" s="53">
        <v>1958</v>
      </c>
      <c r="U14" s="53">
        <v>58.34</v>
      </c>
      <c r="W14" s="53">
        <v>1419</v>
      </c>
      <c r="X14" s="53">
        <v>48.335000000000001</v>
      </c>
      <c r="Z14" s="53">
        <v>1596</v>
      </c>
      <c r="AA14" s="53">
        <v>46.277000000000001</v>
      </c>
      <c r="AC14" s="53">
        <v>1259</v>
      </c>
      <c r="AD14" s="53">
        <v>50.896000000000001</v>
      </c>
      <c r="AF14" s="9">
        <v>1730</v>
      </c>
      <c r="AG14" s="9">
        <v>46.667999999999999</v>
      </c>
      <c r="AI14" s="53">
        <v>1796</v>
      </c>
      <c r="AJ14" s="53">
        <v>63.44</v>
      </c>
      <c r="AL14" s="53">
        <v>1211</v>
      </c>
      <c r="AM14" s="53">
        <v>64.613</v>
      </c>
      <c r="AN14" s="72"/>
      <c r="AO14" s="53">
        <v>1775</v>
      </c>
      <c r="AP14" s="53">
        <v>60.432000000000002</v>
      </c>
      <c r="AR14" s="53">
        <v>1205</v>
      </c>
      <c r="AS14" s="53">
        <v>55.423000000000002</v>
      </c>
      <c r="AU14" s="53">
        <v>1471</v>
      </c>
      <c r="AV14" s="53">
        <v>47.429000000000002</v>
      </c>
    </row>
    <row r="15" spans="2:51" x14ac:dyDescent="0.35">
      <c r="B15" s="38">
        <v>1942</v>
      </c>
      <c r="C15" s="38">
        <v>50.509</v>
      </c>
      <c r="E15" s="38">
        <v>1992</v>
      </c>
      <c r="F15" s="38">
        <v>56.789000000000001</v>
      </c>
      <c r="H15" s="53">
        <v>1710</v>
      </c>
      <c r="I15" s="53">
        <v>58.170999999999999</v>
      </c>
      <c r="J15" s="13" t="s">
        <v>119</v>
      </c>
      <c r="K15" s="40">
        <v>2088</v>
      </c>
      <c r="L15" s="40">
        <v>55.540999999999997</v>
      </c>
      <c r="N15" s="53">
        <v>1351</v>
      </c>
      <c r="O15" s="53">
        <v>50.774999999999999</v>
      </c>
      <c r="Q15" s="53">
        <v>2185</v>
      </c>
      <c r="R15" s="53">
        <v>54.841000000000001</v>
      </c>
      <c r="T15" s="53">
        <v>2180</v>
      </c>
      <c r="U15" s="53">
        <v>56.561999999999998</v>
      </c>
      <c r="W15" s="53">
        <v>1535</v>
      </c>
      <c r="X15" s="53">
        <v>48.802</v>
      </c>
      <c r="Z15" s="53">
        <v>1744</v>
      </c>
      <c r="AA15" s="53">
        <v>47.66</v>
      </c>
      <c r="AC15" s="53">
        <v>1368</v>
      </c>
      <c r="AD15" s="53">
        <v>52.402000000000001</v>
      </c>
      <c r="AF15" s="53">
        <v>1822</v>
      </c>
      <c r="AG15" s="53">
        <v>49.350999999999999</v>
      </c>
      <c r="AI15" s="53">
        <v>1936</v>
      </c>
      <c r="AJ15" s="53">
        <v>63.289000000000001</v>
      </c>
      <c r="AL15" s="53">
        <v>1327</v>
      </c>
      <c r="AM15" s="53">
        <v>63.884999999999998</v>
      </c>
      <c r="AN15" s="72"/>
      <c r="AO15" s="53">
        <v>1878</v>
      </c>
      <c r="AP15" s="53">
        <v>61.225999999999999</v>
      </c>
      <c r="AR15" s="53">
        <v>1470</v>
      </c>
      <c r="AS15" s="53">
        <v>56.198999999999998</v>
      </c>
      <c r="AU15" s="53">
        <v>1575</v>
      </c>
      <c r="AV15" s="53">
        <v>48.639000000000003</v>
      </c>
    </row>
    <row r="16" spans="2:51" x14ac:dyDescent="0.35">
      <c r="B16" s="38">
        <v>2041</v>
      </c>
      <c r="C16" s="38">
        <v>51.627000000000002</v>
      </c>
      <c r="E16" s="38">
        <v>2059</v>
      </c>
      <c r="F16" s="38">
        <v>55.697000000000003</v>
      </c>
      <c r="G16" s="19" t="s">
        <v>234</v>
      </c>
      <c r="H16" s="9">
        <v>1811</v>
      </c>
      <c r="I16" s="9">
        <v>54.36</v>
      </c>
      <c r="K16" s="53">
        <v>2186</v>
      </c>
      <c r="L16" s="53">
        <v>56.901000000000003</v>
      </c>
      <c r="N16" s="53">
        <v>1451</v>
      </c>
      <c r="O16" s="53">
        <v>50.62</v>
      </c>
      <c r="P16" s="13" t="s">
        <v>234</v>
      </c>
      <c r="Q16" s="15">
        <v>2290</v>
      </c>
      <c r="R16" s="15">
        <v>54.36</v>
      </c>
      <c r="T16" s="38">
        <v>2391</v>
      </c>
      <c r="U16" s="53">
        <v>54.02</v>
      </c>
      <c r="W16" s="53">
        <v>1634</v>
      </c>
      <c r="X16" s="53">
        <v>49.453000000000003</v>
      </c>
      <c r="Z16" s="53">
        <v>1853</v>
      </c>
      <c r="AA16" s="53">
        <v>47.758000000000003</v>
      </c>
      <c r="AC16" s="53">
        <v>1479</v>
      </c>
      <c r="AD16" s="53">
        <v>52.768999999999998</v>
      </c>
      <c r="AF16" s="53">
        <v>1914</v>
      </c>
      <c r="AG16" s="53">
        <v>52.171999999999997</v>
      </c>
      <c r="AI16" s="53">
        <v>2054</v>
      </c>
      <c r="AJ16" s="53">
        <v>62.639000000000003</v>
      </c>
      <c r="AL16" s="53">
        <v>1604</v>
      </c>
      <c r="AM16" s="53">
        <v>65.614000000000004</v>
      </c>
      <c r="AN16" s="72"/>
      <c r="AO16" s="53">
        <v>2019</v>
      </c>
      <c r="AP16" s="53">
        <v>59.238999999999997</v>
      </c>
      <c r="AR16" s="53">
        <v>1590</v>
      </c>
      <c r="AS16" s="53">
        <v>56.723999999999997</v>
      </c>
      <c r="AU16" s="53">
        <v>1693</v>
      </c>
      <c r="AV16" s="53">
        <v>49.47</v>
      </c>
    </row>
    <row r="17" spans="1:48" x14ac:dyDescent="0.35">
      <c r="B17" s="38">
        <v>2160</v>
      </c>
      <c r="C17" s="38">
        <v>49.24</v>
      </c>
      <c r="E17" s="38">
        <v>2305</v>
      </c>
      <c r="F17" s="38">
        <v>57.238999999999997</v>
      </c>
      <c r="G17" s="72"/>
      <c r="H17" s="72"/>
      <c r="I17" s="72"/>
      <c r="K17" s="53">
        <v>2316</v>
      </c>
      <c r="L17" s="53">
        <v>54.643999999999998</v>
      </c>
      <c r="N17" s="53">
        <v>1563</v>
      </c>
      <c r="O17" s="53">
        <v>52.69</v>
      </c>
      <c r="Q17" s="74"/>
      <c r="R17" s="74"/>
      <c r="S17" s="19" t="s">
        <v>234</v>
      </c>
      <c r="T17" s="9">
        <v>2453</v>
      </c>
      <c r="U17" s="9">
        <v>54.36</v>
      </c>
      <c r="W17" s="38">
        <f>W16+97</f>
        <v>1731</v>
      </c>
      <c r="X17" s="53">
        <v>50.661000000000001</v>
      </c>
      <c r="Z17" s="53">
        <v>740</v>
      </c>
      <c r="AA17" s="53">
        <v>50.789000000000001</v>
      </c>
      <c r="AC17" s="53">
        <v>1619</v>
      </c>
      <c r="AD17" s="53">
        <v>52.377000000000002</v>
      </c>
      <c r="AF17" s="53">
        <v>2018</v>
      </c>
      <c r="AG17" s="53">
        <v>51.889000000000003</v>
      </c>
      <c r="AI17" s="53">
        <v>2246</v>
      </c>
      <c r="AJ17" s="53">
        <v>62.31</v>
      </c>
      <c r="AL17" s="53">
        <v>1731</v>
      </c>
      <c r="AM17" s="53">
        <v>65.218999999999994</v>
      </c>
      <c r="AN17" s="72"/>
      <c r="AO17" s="53">
        <v>2121</v>
      </c>
      <c r="AP17" s="53">
        <v>58.825000000000003</v>
      </c>
      <c r="AR17" s="53">
        <v>1781</v>
      </c>
      <c r="AS17" s="53">
        <v>56.911999999999999</v>
      </c>
      <c r="AU17" s="53">
        <v>1917</v>
      </c>
      <c r="AV17" s="53">
        <v>50.279000000000003</v>
      </c>
    </row>
    <row r="18" spans="1:48" x14ac:dyDescent="0.35">
      <c r="B18" s="38">
        <v>2295</v>
      </c>
      <c r="C18" s="38">
        <v>48.231000000000002</v>
      </c>
      <c r="E18" s="38">
        <v>2405</v>
      </c>
      <c r="F18" s="38">
        <v>57.569000000000003</v>
      </c>
      <c r="G18" s="72"/>
      <c r="H18" s="72"/>
      <c r="I18" s="72"/>
      <c r="K18" s="53">
        <v>2544</v>
      </c>
      <c r="L18" s="53">
        <v>55.942</v>
      </c>
      <c r="N18" s="53">
        <v>1778</v>
      </c>
      <c r="O18" s="53">
        <v>54.695</v>
      </c>
      <c r="Q18" s="74"/>
      <c r="R18" s="74"/>
      <c r="T18" s="74"/>
      <c r="U18" s="74"/>
      <c r="W18" s="38">
        <f>W17+99</f>
        <v>1830</v>
      </c>
      <c r="X18" s="53">
        <v>52.588000000000001</v>
      </c>
      <c r="Z18" s="53">
        <v>2281</v>
      </c>
      <c r="AA18" s="53">
        <v>51.137999999999998</v>
      </c>
      <c r="AC18" s="53">
        <v>1782</v>
      </c>
      <c r="AD18" s="53">
        <v>49.988</v>
      </c>
      <c r="AF18" s="53">
        <v>2257</v>
      </c>
      <c r="AG18" s="53">
        <v>53.518999999999998</v>
      </c>
      <c r="AI18" s="53">
        <v>2373</v>
      </c>
      <c r="AJ18" s="53">
        <v>62.311999999999998</v>
      </c>
      <c r="AL18" s="53">
        <v>1834</v>
      </c>
      <c r="AM18" s="53">
        <v>64.564999999999998</v>
      </c>
      <c r="AN18" s="72"/>
      <c r="AO18" s="53">
        <v>2231</v>
      </c>
      <c r="AP18" s="53">
        <v>59.131</v>
      </c>
      <c r="AR18" s="53">
        <v>1914</v>
      </c>
      <c r="AS18" s="53">
        <v>56.820999999999998</v>
      </c>
      <c r="AU18" s="53">
        <v>2032</v>
      </c>
      <c r="AV18" s="53">
        <v>49.302999999999997</v>
      </c>
    </row>
    <row r="19" spans="1:48" x14ac:dyDescent="0.35">
      <c r="B19" s="38">
        <v>2495</v>
      </c>
      <c r="C19" s="38">
        <v>47.232999999999997</v>
      </c>
      <c r="E19" s="38">
        <v>2548</v>
      </c>
      <c r="F19" s="38">
        <v>58.326000000000001</v>
      </c>
      <c r="G19" s="72"/>
      <c r="H19" s="72"/>
      <c r="I19" s="72"/>
      <c r="J19" s="13" t="s">
        <v>234</v>
      </c>
      <c r="K19" s="15">
        <v>2778</v>
      </c>
      <c r="L19" s="15">
        <v>54.36</v>
      </c>
      <c r="N19" s="53">
        <v>1902</v>
      </c>
      <c r="O19" s="53">
        <v>53.680999999999997</v>
      </c>
      <c r="W19" s="38">
        <f>W18+109</f>
        <v>1939</v>
      </c>
      <c r="X19" s="53">
        <v>53.067</v>
      </c>
      <c r="Z19" s="53">
        <v>2501</v>
      </c>
      <c r="AA19" s="53">
        <v>57.305999999999997</v>
      </c>
      <c r="AC19" s="53">
        <v>1824</v>
      </c>
      <c r="AD19" s="53">
        <v>51.273000000000003</v>
      </c>
      <c r="AF19" s="53">
        <v>2453</v>
      </c>
      <c r="AG19" s="53">
        <v>52.43</v>
      </c>
      <c r="AI19" s="53">
        <v>2579</v>
      </c>
      <c r="AJ19" s="53">
        <v>61.478999999999999</v>
      </c>
      <c r="AL19" s="53">
        <v>1907</v>
      </c>
      <c r="AM19" s="53">
        <v>63.338999999999999</v>
      </c>
      <c r="AN19" s="72"/>
      <c r="AO19" s="53">
        <v>2364</v>
      </c>
      <c r="AP19" s="53">
        <v>57.671999999999997</v>
      </c>
      <c r="AR19" s="53">
        <v>2256</v>
      </c>
      <c r="AS19" s="53">
        <v>54.473999999999997</v>
      </c>
      <c r="AU19" s="53">
        <v>2149</v>
      </c>
      <c r="AV19" s="53">
        <v>49.087000000000003</v>
      </c>
    </row>
    <row r="20" spans="1:48" x14ac:dyDescent="0.35">
      <c r="B20" s="38">
        <v>2633</v>
      </c>
      <c r="C20" s="38">
        <v>46.924999999999997</v>
      </c>
      <c r="E20" s="38">
        <v>2684</v>
      </c>
      <c r="F20" s="38">
        <v>55.542000000000002</v>
      </c>
      <c r="K20" s="74"/>
      <c r="L20" s="74"/>
      <c r="N20" s="53">
        <v>2028</v>
      </c>
      <c r="O20" s="53">
        <v>54.497</v>
      </c>
      <c r="W20" s="38">
        <f>W19+122</f>
        <v>2061</v>
      </c>
      <c r="X20" s="53">
        <v>55.356000000000002</v>
      </c>
      <c r="Z20" s="53">
        <v>2632</v>
      </c>
      <c r="AA20" s="53">
        <v>57.515000000000001</v>
      </c>
      <c r="AC20" s="53">
        <v>1941</v>
      </c>
      <c r="AD20" s="53">
        <v>50.551000000000002</v>
      </c>
      <c r="AF20" s="53">
        <v>2849</v>
      </c>
      <c r="AG20" s="53">
        <v>53.8</v>
      </c>
      <c r="AI20" s="53">
        <v>2719</v>
      </c>
      <c r="AJ20" s="53">
        <v>61.033999999999999</v>
      </c>
      <c r="AL20" s="53">
        <v>1993</v>
      </c>
      <c r="AM20" s="53">
        <v>62.936</v>
      </c>
      <c r="AN20" s="72"/>
      <c r="AO20" s="53">
        <v>2478</v>
      </c>
      <c r="AP20" s="53">
        <v>56.548999999999999</v>
      </c>
      <c r="AR20" s="53">
        <v>2385</v>
      </c>
      <c r="AS20" s="53">
        <v>54.759</v>
      </c>
      <c r="AU20" s="53">
        <v>2249</v>
      </c>
      <c r="AV20" s="53">
        <v>47.825000000000003</v>
      </c>
    </row>
    <row r="21" spans="1:48" x14ac:dyDescent="0.35">
      <c r="B21" s="38">
        <v>2857</v>
      </c>
      <c r="C21" s="38">
        <v>56.847999999999999</v>
      </c>
      <c r="E21" s="38">
        <v>2767</v>
      </c>
      <c r="F21" s="38">
        <v>56.765000000000001</v>
      </c>
      <c r="K21" s="74"/>
      <c r="L21" s="74"/>
      <c r="N21" s="53">
        <v>2222</v>
      </c>
      <c r="O21" s="53">
        <v>51.215000000000003</v>
      </c>
      <c r="W21" s="38">
        <v>2171</v>
      </c>
      <c r="X21" s="53">
        <v>57.043999999999997</v>
      </c>
      <c r="Z21" s="53">
        <v>2819</v>
      </c>
      <c r="AA21" s="53">
        <v>56.463999999999999</v>
      </c>
      <c r="AC21" s="53">
        <v>2045</v>
      </c>
      <c r="AD21" s="53">
        <v>50.41</v>
      </c>
      <c r="AF21" s="53">
        <v>3313</v>
      </c>
      <c r="AG21" s="53">
        <v>55.241</v>
      </c>
      <c r="AI21" s="53">
        <v>2813</v>
      </c>
      <c r="AJ21" s="53">
        <v>60.363</v>
      </c>
      <c r="AL21" s="53">
        <v>2122</v>
      </c>
      <c r="AM21" s="53">
        <v>62.656999999999996</v>
      </c>
      <c r="AN21" s="72"/>
      <c r="AO21" s="53">
        <v>2661</v>
      </c>
      <c r="AP21" s="53">
        <v>56.945999999999998</v>
      </c>
      <c r="AR21" s="53">
        <v>2609</v>
      </c>
      <c r="AS21" s="53">
        <v>53.904000000000003</v>
      </c>
      <c r="AU21" s="53">
        <v>2382</v>
      </c>
      <c r="AV21" s="53">
        <v>47.594000000000001</v>
      </c>
    </row>
    <row r="22" spans="1:48" x14ac:dyDescent="0.35">
      <c r="B22" s="38">
        <v>3091</v>
      </c>
      <c r="C22" s="38">
        <v>58.170999999999999</v>
      </c>
      <c r="E22" s="38">
        <v>2885</v>
      </c>
      <c r="F22" s="38">
        <v>56.045000000000002</v>
      </c>
      <c r="N22" s="53">
        <v>2461</v>
      </c>
      <c r="O22" s="53">
        <v>58.576000000000001</v>
      </c>
      <c r="W22" s="38">
        <v>2277</v>
      </c>
      <c r="X22" s="53">
        <v>57.67</v>
      </c>
      <c r="Z22" s="53">
        <v>3046</v>
      </c>
      <c r="AA22" s="53">
        <v>56.713999999999999</v>
      </c>
      <c r="AC22" s="53">
        <v>2144</v>
      </c>
      <c r="AD22" s="53">
        <v>50.975000000000001</v>
      </c>
      <c r="AF22" s="53">
        <v>3429</v>
      </c>
      <c r="AG22" s="53">
        <v>56.008000000000003</v>
      </c>
      <c r="AI22" s="53">
        <v>3071</v>
      </c>
      <c r="AJ22" s="53">
        <v>59.192</v>
      </c>
      <c r="AL22" s="53">
        <v>2351</v>
      </c>
      <c r="AM22" s="53">
        <v>61.545000000000002</v>
      </c>
      <c r="AN22" s="72"/>
      <c r="AO22" s="53">
        <v>2756</v>
      </c>
      <c r="AP22" s="53">
        <v>57.805999999999997</v>
      </c>
      <c r="AR22" s="53">
        <v>2740</v>
      </c>
      <c r="AS22" s="53">
        <v>52.741</v>
      </c>
      <c r="AU22" s="53">
        <v>2486</v>
      </c>
      <c r="AV22" s="53">
        <v>47.158000000000001</v>
      </c>
    </row>
    <row r="23" spans="1:48" x14ac:dyDescent="0.35">
      <c r="A23" s="19" t="s">
        <v>234</v>
      </c>
      <c r="B23" s="9">
        <v>3155</v>
      </c>
      <c r="C23" s="9">
        <v>54.36</v>
      </c>
      <c r="D23" s="13" t="s">
        <v>110</v>
      </c>
      <c r="E23" s="15">
        <v>3081</v>
      </c>
      <c r="F23" s="15">
        <v>46.924999999999997</v>
      </c>
      <c r="M23" s="19" t="s">
        <v>234</v>
      </c>
      <c r="N23" s="9">
        <v>2597</v>
      </c>
      <c r="O23" s="9">
        <v>54.36</v>
      </c>
      <c r="W23" s="38">
        <f>W22+96</f>
        <v>2373</v>
      </c>
      <c r="X23" s="53">
        <v>58.225000000000001</v>
      </c>
      <c r="Z23" s="53">
        <v>3171</v>
      </c>
      <c r="AA23" s="53">
        <v>56.683999999999997</v>
      </c>
      <c r="AC23" s="53">
        <v>2251</v>
      </c>
      <c r="AD23" s="53">
        <v>50.009</v>
      </c>
      <c r="AF23" s="53">
        <v>3539</v>
      </c>
      <c r="AG23" s="53">
        <v>55.384</v>
      </c>
      <c r="AI23" s="53">
        <v>3336</v>
      </c>
      <c r="AJ23" s="53">
        <v>59.069000000000003</v>
      </c>
      <c r="AL23" s="53">
        <v>2449</v>
      </c>
      <c r="AM23" s="53">
        <v>62.125</v>
      </c>
      <c r="AN23" s="72"/>
      <c r="AO23" s="53">
        <v>2902</v>
      </c>
      <c r="AP23" s="53">
        <v>56.076999999999998</v>
      </c>
      <c r="AR23" s="53">
        <v>2837</v>
      </c>
      <c r="AS23" s="53">
        <v>51.619</v>
      </c>
      <c r="AU23" s="53">
        <v>2585</v>
      </c>
      <c r="AV23" s="53">
        <v>49.088000000000001</v>
      </c>
    </row>
    <row r="24" spans="1:48" x14ac:dyDescent="0.35">
      <c r="B24" s="74"/>
      <c r="C24" s="74"/>
      <c r="E24" s="38">
        <v>3337</v>
      </c>
      <c r="F24" s="38">
        <v>56.9</v>
      </c>
      <c r="N24" s="74"/>
      <c r="O24" s="74"/>
      <c r="W24" s="38">
        <f>W23+127</f>
        <v>2500</v>
      </c>
      <c r="X24" s="53">
        <v>58.942999999999998</v>
      </c>
      <c r="Z24" s="53">
        <v>3372</v>
      </c>
      <c r="AA24" s="53">
        <v>56.972999999999999</v>
      </c>
      <c r="AC24" s="53">
        <v>2372</v>
      </c>
      <c r="AD24" s="53">
        <v>48.518000000000001</v>
      </c>
      <c r="AF24" s="53">
        <v>3659</v>
      </c>
      <c r="AG24" s="53">
        <v>54.5</v>
      </c>
      <c r="AI24" s="53">
        <v>3605</v>
      </c>
      <c r="AJ24" s="53">
        <v>60.1</v>
      </c>
      <c r="AL24" s="53">
        <v>2786</v>
      </c>
      <c r="AM24" s="53">
        <v>60.009</v>
      </c>
      <c r="AN24" s="72"/>
      <c r="AO24" s="53">
        <v>3132</v>
      </c>
      <c r="AP24" s="53">
        <v>55.014000000000003</v>
      </c>
      <c r="AR24" s="53">
        <v>3086</v>
      </c>
      <c r="AS24" s="53">
        <v>47.54</v>
      </c>
      <c r="AT24" s="13" t="s">
        <v>124</v>
      </c>
      <c r="AU24" s="15">
        <v>2695</v>
      </c>
      <c r="AV24" s="15">
        <v>45.735999999999997</v>
      </c>
    </row>
    <row r="25" spans="1:48" x14ac:dyDescent="0.35">
      <c r="B25" s="74"/>
      <c r="C25" s="74"/>
      <c r="D25" s="13" t="s">
        <v>234</v>
      </c>
      <c r="E25" s="15">
        <v>3613</v>
      </c>
      <c r="F25" s="15">
        <v>54.36</v>
      </c>
      <c r="N25" s="74"/>
      <c r="O25" s="74"/>
      <c r="W25" s="38">
        <f>W24+90</f>
        <v>2590</v>
      </c>
      <c r="X25" s="53">
        <v>57.993000000000002</v>
      </c>
      <c r="Z25" s="53">
        <v>3490</v>
      </c>
      <c r="AA25" s="53">
        <v>56.298000000000002</v>
      </c>
      <c r="AC25" s="53">
        <v>2604</v>
      </c>
      <c r="AD25" s="53">
        <v>46.817</v>
      </c>
      <c r="AF25" s="53">
        <v>3772</v>
      </c>
      <c r="AG25" s="53">
        <v>53.624000000000002</v>
      </c>
      <c r="AI25" s="53">
        <v>3743</v>
      </c>
      <c r="AJ25" s="53">
        <v>53.164000000000001</v>
      </c>
      <c r="AL25" s="53">
        <v>2884</v>
      </c>
      <c r="AM25" s="53">
        <v>60.066000000000003</v>
      </c>
      <c r="AN25" s="72"/>
      <c r="AO25" s="53">
        <v>3345</v>
      </c>
      <c r="AP25" s="53">
        <v>51.055</v>
      </c>
      <c r="AR25" s="53">
        <v>3129</v>
      </c>
      <c r="AS25" s="53">
        <v>47.884999999999998</v>
      </c>
      <c r="AU25" s="53">
        <v>2981</v>
      </c>
      <c r="AV25" s="53">
        <v>51.177999999999997</v>
      </c>
    </row>
    <row r="26" spans="1:48" x14ac:dyDescent="0.35">
      <c r="W26" s="38">
        <v>2691</v>
      </c>
      <c r="X26" s="53">
        <v>56.94</v>
      </c>
      <c r="Z26" s="53">
        <v>3688</v>
      </c>
      <c r="AA26" s="53">
        <v>54.192999999999998</v>
      </c>
      <c r="AB26" s="13" t="s">
        <v>124</v>
      </c>
      <c r="AC26" s="15">
        <v>2684</v>
      </c>
      <c r="AD26" s="15">
        <v>45.491</v>
      </c>
      <c r="AF26" s="53">
        <v>3976</v>
      </c>
      <c r="AG26" s="53">
        <v>52.814</v>
      </c>
      <c r="AH26" s="13" t="s">
        <v>64</v>
      </c>
      <c r="AI26" s="15">
        <v>3832</v>
      </c>
      <c r="AJ26" s="15">
        <v>51.36</v>
      </c>
      <c r="AL26" s="53">
        <v>2997</v>
      </c>
      <c r="AM26" s="53">
        <v>58.758000000000003</v>
      </c>
      <c r="AN26" s="72"/>
      <c r="AO26" s="53">
        <v>3439</v>
      </c>
      <c r="AP26" s="53">
        <v>54.372999999999998</v>
      </c>
      <c r="AR26" s="53">
        <v>3227</v>
      </c>
      <c r="AS26" s="53">
        <v>48.268999999999998</v>
      </c>
      <c r="AU26" s="53">
        <v>3084</v>
      </c>
      <c r="AV26" s="53">
        <v>49.735999999999997</v>
      </c>
    </row>
    <row r="27" spans="1:48" x14ac:dyDescent="0.35">
      <c r="W27" s="38">
        <v>2807</v>
      </c>
      <c r="X27" s="53">
        <v>56.231999999999999</v>
      </c>
      <c r="Z27" s="53">
        <v>3927</v>
      </c>
      <c r="AA27" s="53">
        <v>57.377000000000002</v>
      </c>
      <c r="AC27" s="53">
        <v>2811</v>
      </c>
      <c r="AD27" s="53">
        <v>46.838999999999999</v>
      </c>
      <c r="AF27" s="53">
        <v>4087</v>
      </c>
      <c r="AG27" s="53">
        <v>52.54</v>
      </c>
      <c r="AI27" s="53">
        <v>4318</v>
      </c>
      <c r="AJ27" s="53">
        <v>54.796999999999997</v>
      </c>
      <c r="AL27" s="53">
        <v>3093</v>
      </c>
      <c r="AM27" s="53">
        <v>59.055</v>
      </c>
      <c r="AN27" s="13" t="s">
        <v>234</v>
      </c>
      <c r="AO27" s="15">
        <v>4039</v>
      </c>
      <c r="AP27" s="15">
        <v>54.36</v>
      </c>
      <c r="AQ27" s="19" t="s">
        <v>124</v>
      </c>
      <c r="AR27" s="9">
        <v>3451</v>
      </c>
      <c r="AS27" s="9">
        <v>47.804000000000002</v>
      </c>
      <c r="AU27" s="53">
        <v>3188</v>
      </c>
      <c r="AV27" s="53">
        <v>51.466999999999999</v>
      </c>
    </row>
    <row r="28" spans="1:48" x14ac:dyDescent="0.35">
      <c r="W28" s="38">
        <v>2922</v>
      </c>
      <c r="X28" s="53">
        <v>56.713999999999999</v>
      </c>
      <c r="Z28" s="53">
        <v>4205</v>
      </c>
      <c r="AA28" s="53">
        <v>58.284999999999997</v>
      </c>
      <c r="AC28" s="53">
        <v>2922</v>
      </c>
      <c r="AD28" s="53">
        <v>52.36</v>
      </c>
      <c r="AF28" s="53">
        <v>4401</v>
      </c>
      <c r="AG28" s="53">
        <v>55.984000000000002</v>
      </c>
      <c r="AH28" s="13" t="s">
        <v>234</v>
      </c>
      <c r="AI28" s="15">
        <f>AI26+719</f>
        <v>4551</v>
      </c>
      <c r="AJ28" s="15">
        <v>54.36</v>
      </c>
      <c r="AL28" s="53">
        <v>3194</v>
      </c>
      <c r="AM28" s="53">
        <v>57.954000000000001</v>
      </c>
      <c r="AN28" s="72"/>
      <c r="AR28" s="9">
        <v>3472</v>
      </c>
      <c r="AS28" s="9">
        <v>46.667999999999999</v>
      </c>
      <c r="AU28" s="53">
        <v>3388</v>
      </c>
      <c r="AV28" s="53">
        <v>50.146000000000001</v>
      </c>
    </row>
    <row r="29" spans="1:48" x14ac:dyDescent="0.35">
      <c r="W29" s="38">
        <v>3024</v>
      </c>
      <c r="X29" s="53">
        <v>55.362000000000002</v>
      </c>
      <c r="Y29" s="19" t="s">
        <v>234</v>
      </c>
      <c r="Z29" s="9">
        <v>4441</v>
      </c>
      <c r="AA29" s="9">
        <v>54.36</v>
      </c>
      <c r="AC29" s="53">
        <v>3057</v>
      </c>
      <c r="AD29" s="53">
        <v>53.154000000000003</v>
      </c>
      <c r="AE29" s="19" t="s">
        <v>323</v>
      </c>
      <c r="AF29" s="9">
        <v>4682</v>
      </c>
      <c r="AG29" s="9">
        <v>58.170999999999999</v>
      </c>
      <c r="AL29" s="53">
        <v>3320</v>
      </c>
      <c r="AM29" s="53">
        <v>58.881</v>
      </c>
      <c r="AN29" s="72"/>
      <c r="AR29" s="53">
        <v>3551</v>
      </c>
      <c r="AS29" s="53">
        <v>50.293999999999997</v>
      </c>
      <c r="AU29" s="53">
        <v>3482</v>
      </c>
      <c r="AV29" s="53">
        <v>49.57</v>
      </c>
    </row>
    <row r="30" spans="1:48" x14ac:dyDescent="0.35">
      <c r="W30" s="38">
        <v>3117</v>
      </c>
      <c r="X30" s="53">
        <v>56.091000000000001</v>
      </c>
      <c r="AC30" s="53">
        <v>3154</v>
      </c>
      <c r="AD30" s="53">
        <v>54.606000000000002</v>
      </c>
      <c r="AE30" s="19" t="s">
        <v>234</v>
      </c>
      <c r="AF30" s="9">
        <v>4746</v>
      </c>
      <c r="AG30" s="9">
        <v>54.36</v>
      </c>
      <c r="AL30" s="53">
        <v>3414</v>
      </c>
      <c r="AM30" s="53">
        <v>57.412999999999997</v>
      </c>
      <c r="AN30" s="72"/>
      <c r="AR30" s="53">
        <v>3643</v>
      </c>
      <c r="AS30" s="53">
        <v>51.387999999999998</v>
      </c>
      <c r="AU30" s="53">
        <v>3573</v>
      </c>
      <c r="AV30" s="53">
        <v>47.302</v>
      </c>
    </row>
    <row r="31" spans="1:48" x14ac:dyDescent="0.35">
      <c r="W31" s="38">
        <v>3228</v>
      </c>
      <c r="X31" s="53">
        <v>57.11</v>
      </c>
      <c r="AC31" s="53">
        <v>3264</v>
      </c>
      <c r="AD31" s="53">
        <v>54.427</v>
      </c>
      <c r="AF31" s="73"/>
      <c r="AG31" s="73"/>
      <c r="AL31" s="53">
        <v>3509</v>
      </c>
      <c r="AM31" s="53">
        <v>56.506</v>
      </c>
      <c r="AN31" s="72"/>
      <c r="AR31" s="53">
        <v>3759</v>
      </c>
      <c r="AS31" s="53">
        <v>53.063000000000002</v>
      </c>
      <c r="AU31" s="53">
        <v>3677</v>
      </c>
      <c r="AV31" s="53">
        <v>46.741</v>
      </c>
    </row>
    <row r="32" spans="1:48" x14ac:dyDescent="0.35">
      <c r="W32" s="38">
        <v>3331</v>
      </c>
      <c r="X32" s="53">
        <v>56.3</v>
      </c>
      <c r="AC32" s="53">
        <v>3470</v>
      </c>
      <c r="AD32" s="53">
        <v>50.694000000000003</v>
      </c>
      <c r="AF32" s="73"/>
      <c r="AG32" s="73"/>
      <c r="AK32" s="19" t="s">
        <v>64</v>
      </c>
      <c r="AL32" s="9">
        <v>3532</v>
      </c>
      <c r="AM32" s="9">
        <v>55.540999999999997</v>
      </c>
      <c r="AN32" s="72"/>
      <c r="AR32" s="53">
        <v>3870</v>
      </c>
      <c r="AS32" s="53">
        <v>52.773000000000003</v>
      </c>
      <c r="AU32" s="53">
        <v>3788</v>
      </c>
      <c r="AV32" s="53">
        <v>46.316000000000003</v>
      </c>
    </row>
    <row r="33" spans="22:48" x14ac:dyDescent="0.35">
      <c r="W33" s="38">
        <v>3424</v>
      </c>
      <c r="X33" s="53">
        <v>56.984999999999999</v>
      </c>
      <c r="AC33" s="53">
        <v>3701</v>
      </c>
      <c r="AD33" s="53">
        <v>46.277000000000001</v>
      </c>
      <c r="AK33" s="19" t="s">
        <v>321</v>
      </c>
      <c r="AL33" s="9">
        <v>3674</v>
      </c>
      <c r="AM33" s="9">
        <v>53.932000000000002</v>
      </c>
      <c r="AN33" s="72"/>
      <c r="AR33" s="53">
        <v>3973</v>
      </c>
      <c r="AS33" s="53">
        <v>52.701999999999998</v>
      </c>
      <c r="AU33" s="53">
        <v>3904</v>
      </c>
      <c r="AV33" s="53">
        <v>48.424999999999997</v>
      </c>
    </row>
    <row r="34" spans="22:48" x14ac:dyDescent="0.35">
      <c r="V34" s="13" t="s">
        <v>110</v>
      </c>
      <c r="W34" s="15">
        <v>3546</v>
      </c>
      <c r="X34" s="15">
        <v>54.51</v>
      </c>
      <c r="AC34" s="53">
        <v>3930</v>
      </c>
      <c r="AD34" s="53">
        <v>48.018000000000001</v>
      </c>
      <c r="AL34" s="53">
        <v>3890</v>
      </c>
      <c r="AM34" s="53">
        <v>55.415999999999997</v>
      </c>
      <c r="AN34" s="72"/>
      <c r="AR34" s="53">
        <v>4079</v>
      </c>
      <c r="AS34" s="53">
        <v>52.887999999999998</v>
      </c>
      <c r="AU34" s="53">
        <v>4028</v>
      </c>
      <c r="AV34" s="53">
        <v>46.77</v>
      </c>
    </row>
    <row r="35" spans="22:48" x14ac:dyDescent="0.35">
      <c r="W35" s="38">
        <v>3867</v>
      </c>
      <c r="X35" s="53">
        <v>58.34</v>
      </c>
      <c r="AC35" s="53">
        <v>4022</v>
      </c>
      <c r="AD35" s="53">
        <v>47.908999999999999</v>
      </c>
      <c r="AK35" s="19" t="s">
        <v>234</v>
      </c>
      <c r="AL35" s="9">
        <v>4247</v>
      </c>
      <c r="AM35" s="9">
        <v>54.36</v>
      </c>
      <c r="AN35" s="72"/>
      <c r="AR35" s="53">
        <v>4172</v>
      </c>
      <c r="AS35" s="53">
        <v>52.36</v>
      </c>
      <c r="AU35" s="53">
        <v>4169</v>
      </c>
      <c r="AV35" s="53">
        <v>49.814999999999998</v>
      </c>
    </row>
    <row r="36" spans="22:48" x14ac:dyDescent="0.35">
      <c r="V36" s="13" t="s">
        <v>234</v>
      </c>
      <c r="W36" s="15">
        <v>3938</v>
      </c>
      <c r="X36" s="15">
        <v>54.36</v>
      </c>
      <c r="AC36" s="53">
        <v>4113</v>
      </c>
      <c r="AD36" s="53">
        <v>49.726999999999997</v>
      </c>
      <c r="AL36" s="72"/>
      <c r="AM36" s="72"/>
      <c r="AN36" s="72"/>
      <c r="AR36" s="53">
        <v>4593</v>
      </c>
      <c r="AS36" s="53">
        <v>54.74</v>
      </c>
      <c r="AU36" s="53">
        <v>4265</v>
      </c>
      <c r="AV36" s="53">
        <v>50.015999999999998</v>
      </c>
    </row>
    <row r="37" spans="22:48" x14ac:dyDescent="0.35">
      <c r="W37" s="72"/>
      <c r="X37" s="72"/>
      <c r="AC37" s="53">
        <v>4208</v>
      </c>
      <c r="AD37" s="53">
        <v>52.85</v>
      </c>
      <c r="AL37" s="72"/>
      <c r="AM37" s="72"/>
      <c r="AN37" s="72"/>
      <c r="AR37" s="53">
        <v>4806</v>
      </c>
      <c r="AS37" s="53">
        <v>56.457000000000001</v>
      </c>
      <c r="AU37" s="53">
        <v>4402</v>
      </c>
      <c r="AV37" s="53">
        <v>51.886000000000003</v>
      </c>
    </row>
    <row r="38" spans="22:48" x14ac:dyDescent="0.35">
      <c r="V38" s="72"/>
      <c r="W38" s="72"/>
      <c r="X38" s="72"/>
      <c r="AC38" s="53">
        <v>4335</v>
      </c>
      <c r="AD38" s="53">
        <v>51.393999999999998</v>
      </c>
      <c r="AL38" s="72"/>
      <c r="AM38" s="72"/>
      <c r="AN38" s="72"/>
      <c r="AR38" s="53">
        <v>5039</v>
      </c>
      <c r="AS38" s="53">
        <v>55.070999999999998</v>
      </c>
      <c r="AU38" s="53">
        <v>4592</v>
      </c>
      <c r="AV38" s="53">
        <v>57.317</v>
      </c>
    </row>
    <row r="39" spans="22:48" x14ac:dyDescent="0.35">
      <c r="AC39" s="53">
        <v>4456</v>
      </c>
      <c r="AD39" s="53">
        <v>53.252000000000002</v>
      </c>
      <c r="AL39" s="72"/>
      <c r="AM39" s="72"/>
      <c r="AN39" s="72"/>
      <c r="AR39" s="53">
        <v>5152</v>
      </c>
      <c r="AS39" s="53">
        <v>56.601999999999997</v>
      </c>
      <c r="AU39" s="53">
        <v>4703</v>
      </c>
      <c r="AV39" s="53">
        <v>56.500999999999998</v>
      </c>
    </row>
    <row r="40" spans="22:48" x14ac:dyDescent="0.35">
      <c r="AC40" s="53">
        <v>4595</v>
      </c>
      <c r="AD40" s="53">
        <v>55.232999999999997</v>
      </c>
      <c r="AL40" s="72"/>
      <c r="AM40" s="72"/>
      <c r="AN40" s="72"/>
      <c r="AR40" s="53">
        <v>5258</v>
      </c>
      <c r="AS40" s="53">
        <v>55.31</v>
      </c>
      <c r="AU40" s="53">
        <v>4905</v>
      </c>
      <c r="AV40" s="53">
        <v>56.345999999999997</v>
      </c>
    </row>
    <row r="41" spans="22:48" x14ac:dyDescent="0.35">
      <c r="AC41" s="53">
        <v>4692</v>
      </c>
      <c r="AD41" s="53">
        <v>56.555</v>
      </c>
      <c r="AL41" s="72"/>
      <c r="AM41" s="72"/>
      <c r="AN41" s="72"/>
      <c r="AR41" s="53">
        <v>5403</v>
      </c>
      <c r="AS41" s="53">
        <v>55.948</v>
      </c>
      <c r="AU41" s="53">
        <v>5006</v>
      </c>
      <c r="AV41" s="53">
        <v>55.44</v>
      </c>
    </row>
    <row r="42" spans="22:48" x14ac:dyDescent="0.35">
      <c r="AC42" s="53">
        <v>4763</v>
      </c>
      <c r="AD42" s="53">
        <v>56.579000000000001</v>
      </c>
      <c r="AL42" s="72"/>
      <c r="AM42" s="72"/>
      <c r="AN42" s="72"/>
      <c r="AR42" s="53">
        <v>5513</v>
      </c>
      <c r="AS42" s="53">
        <v>55.506999999999998</v>
      </c>
      <c r="AU42" s="53">
        <v>5213</v>
      </c>
      <c r="AV42" s="53">
        <v>56.399000000000001</v>
      </c>
    </row>
    <row r="43" spans="22:48" x14ac:dyDescent="0.35">
      <c r="AC43" s="53">
        <v>4875</v>
      </c>
      <c r="AD43" s="53">
        <v>56.52</v>
      </c>
      <c r="AL43" s="72"/>
      <c r="AM43" s="72"/>
      <c r="AN43" s="72"/>
      <c r="AR43" s="53">
        <v>5661</v>
      </c>
      <c r="AS43" s="53">
        <v>54.459000000000003</v>
      </c>
      <c r="AU43" s="53">
        <v>5398</v>
      </c>
      <c r="AV43" s="53">
        <v>56.1</v>
      </c>
    </row>
    <row r="44" spans="22:48" x14ac:dyDescent="0.35">
      <c r="AC44" s="53">
        <v>4980</v>
      </c>
      <c r="AD44" s="53">
        <v>55.48</v>
      </c>
      <c r="AR44" s="53">
        <v>5762</v>
      </c>
      <c r="AS44" s="53">
        <v>53.698</v>
      </c>
      <c r="AU44" s="53">
        <v>5491</v>
      </c>
      <c r="AV44" s="53">
        <v>54.820999999999998</v>
      </c>
    </row>
    <row r="45" spans="22:48" x14ac:dyDescent="0.35">
      <c r="AC45" s="53">
        <v>5072</v>
      </c>
      <c r="AD45" s="53">
        <v>55.847000000000001</v>
      </c>
      <c r="AR45" s="53">
        <v>5864</v>
      </c>
      <c r="AS45" s="53">
        <v>54.076000000000001</v>
      </c>
      <c r="AU45" s="53">
        <v>5601</v>
      </c>
      <c r="AV45" s="53">
        <v>55.01</v>
      </c>
    </row>
    <row r="46" spans="22:48" x14ac:dyDescent="0.35">
      <c r="AC46" s="53">
        <v>5172</v>
      </c>
      <c r="AD46" s="53">
        <v>57.442</v>
      </c>
      <c r="AR46" s="53">
        <v>5955</v>
      </c>
      <c r="AS46" s="53">
        <v>52.052999999999997</v>
      </c>
      <c r="AU46" s="53">
        <v>5941</v>
      </c>
      <c r="AV46" s="53">
        <v>57.712000000000003</v>
      </c>
    </row>
    <row r="47" spans="22:48" x14ac:dyDescent="0.35">
      <c r="AC47" s="53">
        <v>5270</v>
      </c>
      <c r="AD47" s="53">
        <v>57.279000000000003</v>
      </c>
      <c r="AR47" s="53">
        <v>6053</v>
      </c>
      <c r="AS47" s="53">
        <v>54.133000000000003</v>
      </c>
      <c r="AU47" s="53">
        <v>5991</v>
      </c>
      <c r="AV47" s="53">
        <v>58.046999999999997</v>
      </c>
    </row>
    <row r="48" spans="22:48" x14ac:dyDescent="0.35">
      <c r="AC48" s="53">
        <v>5434</v>
      </c>
      <c r="AD48" s="53">
        <v>57.308999999999997</v>
      </c>
      <c r="AR48" s="53">
        <v>6195</v>
      </c>
      <c r="AS48" s="53">
        <v>57.886000000000003</v>
      </c>
      <c r="AU48" s="53">
        <v>6100</v>
      </c>
      <c r="AV48" s="53">
        <v>58.981000000000002</v>
      </c>
    </row>
    <row r="49" spans="28:48" x14ac:dyDescent="0.35">
      <c r="AC49" s="53">
        <v>5781</v>
      </c>
      <c r="AD49" s="53">
        <v>55.225000000000001</v>
      </c>
      <c r="AQ49" s="19" t="s">
        <v>322</v>
      </c>
      <c r="AR49" s="9">
        <v>6402</v>
      </c>
      <c r="AS49" s="9">
        <v>58.170999999999999</v>
      </c>
      <c r="AU49" s="53">
        <v>6404</v>
      </c>
      <c r="AV49" s="53">
        <v>58.244999999999997</v>
      </c>
    </row>
    <row r="50" spans="28:48" x14ac:dyDescent="0.35">
      <c r="AC50" s="53">
        <v>5880</v>
      </c>
      <c r="AD50" s="53">
        <v>55.436</v>
      </c>
      <c r="AQ50" s="19" t="s">
        <v>234</v>
      </c>
      <c r="AR50" s="9">
        <v>6467</v>
      </c>
      <c r="AS50" s="9">
        <v>54.36</v>
      </c>
      <c r="AT50" s="13" t="s">
        <v>326</v>
      </c>
      <c r="AU50" s="15">
        <v>6502</v>
      </c>
      <c r="AV50" s="15">
        <v>57.738</v>
      </c>
    </row>
    <row r="51" spans="28:48" x14ac:dyDescent="0.35">
      <c r="AC51" s="53">
        <v>6108</v>
      </c>
      <c r="AD51" s="53">
        <v>57.417000000000002</v>
      </c>
      <c r="AT51" s="13" t="s">
        <v>234</v>
      </c>
      <c r="AU51" s="15">
        <v>6553</v>
      </c>
      <c r="AV51" s="15">
        <v>54.36</v>
      </c>
    </row>
    <row r="52" spans="28:48" x14ac:dyDescent="0.35">
      <c r="AC52" s="53">
        <v>6206</v>
      </c>
      <c r="AD52" s="53">
        <v>59.109000000000002</v>
      </c>
    </row>
    <row r="53" spans="28:48" x14ac:dyDescent="0.35">
      <c r="AC53" s="53">
        <v>6329</v>
      </c>
      <c r="AD53" s="53">
        <v>57.591999999999999</v>
      </c>
    </row>
    <row r="54" spans="28:48" x14ac:dyDescent="0.35">
      <c r="AB54" s="13" t="s">
        <v>325</v>
      </c>
      <c r="AC54" s="15">
        <f>AM41-$AM$40+$AC$53</f>
        <v>6329</v>
      </c>
      <c r="AD54" s="15">
        <v>57.738</v>
      </c>
    </row>
    <row r="55" spans="28:48" x14ac:dyDescent="0.35">
      <c r="AB55" s="13" t="s">
        <v>234</v>
      </c>
      <c r="AC55" s="15">
        <v>6379</v>
      </c>
      <c r="AD55" s="15">
        <v>54.36</v>
      </c>
    </row>
    <row r="56" spans="28:48" x14ac:dyDescent="0.35">
      <c r="AB56" s="72"/>
      <c r="AC56" s="72"/>
      <c r="AD56" s="72"/>
    </row>
  </sheetData>
  <mergeCells count="17">
    <mergeCell ref="AL1:AM1"/>
    <mergeCell ref="AO1:AP1"/>
    <mergeCell ref="AR1:AS1"/>
    <mergeCell ref="AU1:AV1"/>
    <mergeCell ref="AX1:AY1"/>
    <mergeCell ref="AI1:AJ1"/>
    <mergeCell ref="B1:C1"/>
    <mergeCell ref="E1:F1"/>
    <mergeCell ref="H1:I1"/>
    <mergeCell ref="K1:L1"/>
    <mergeCell ref="N1:O1"/>
    <mergeCell ref="Q1:R1"/>
    <mergeCell ref="T1:U1"/>
    <mergeCell ref="W1:X1"/>
    <mergeCell ref="Z1:AA1"/>
    <mergeCell ref="AC1:AD1"/>
    <mergeCell ref="AF1:AG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AV195"/>
  <sheetViews>
    <sheetView topLeftCell="T1" workbookViewId="0">
      <pane ySplit="2" topLeftCell="A3" activePane="bottomLeft" state="frozen"/>
      <selection pane="bottomLeft" activeCell="AN63" sqref="AN63:AP63"/>
    </sheetView>
  </sheetViews>
  <sheetFormatPr defaultRowHeight="14.5" x14ac:dyDescent="0.35"/>
  <sheetData>
    <row r="1" spans="2:48" x14ac:dyDescent="0.35">
      <c r="B1" s="99" t="s">
        <v>248</v>
      </c>
      <c r="C1" s="100"/>
      <c r="E1" s="99" t="s">
        <v>249</v>
      </c>
      <c r="F1" s="100"/>
      <c r="H1" s="99" t="s">
        <v>250</v>
      </c>
      <c r="I1" s="100"/>
      <c r="K1" s="99" t="s">
        <v>251</v>
      </c>
      <c r="L1" s="100"/>
      <c r="N1" s="99" t="s">
        <v>252</v>
      </c>
      <c r="O1" s="100"/>
      <c r="Q1" s="99" t="s">
        <v>253</v>
      </c>
      <c r="R1" s="100"/>
      <c r="T1" s="99" t="s">
        <v>254</v>
      </c>
      <c r="U1" s="100"/>
      <c r="W1" s="99" t="s">
        <v>262</v>
      </c>
      <c r="X1" s="100"/>
      <c r="Z1" s="99" t="s">
        <v>256</v>
      </c>
      <c r="AA1" s="100"/>
      <c r="AC1" s="99" t="s">
        <v>257</v>
      </c>
      <c r="AD1" s="100"/>
      <c r="AF1" s="99" t="s">
        <v>258</v>
      </c>
      <c r="AG1" s="100"/>
      <c r="AI1" s="99" t="s">
        <v>263</v>
      </c>
      <c r="AJ1" s="100"/>
      <c r="AL1" s="99" t="s">
        <v>259</v>
      </c>
      <c r="AM1" s="100"/>
      <c r="AO1" s="99" t="s">
        <v>260</v>
      </c>
      <c r="AP1" s="100"/>
      <c r="AR1" s="99" t="s">
        <v>261</v>
      </c>
      <c r="AS1" s="100"/>
      <c r="AU1" s="99" t="s">
        <v>264</v>
      </c>
      <c r="AV1" s="100"/>
    </row>
    <row r="2" spans="2:48" x14ac:dyDescent="0.35">
      <c r="B2" s="1" t="s">
        <v>32</v>
      </c>
      <c r="C2" s="1" t="s">
        <v>33</v>
      </c>
      <c r="E2" s="1" t="s">
        <v>32</v>
      </c>
      <c r="F2" s="1" t="s">
        <v>33</v>
      </c>
      <c r="H2" s="1" t="s">
        <v>32</v>
      </c>
      <c r="I2" s="1" t="s">
        <v>33</v>
      </c>
      <c r="K2" s="1" t="s">
        <v>32</v>
      </c>
      <c r="L2" s="1" t="s">
        <v>33</v>
      </c>
      <c r="N2" s="1" t="s">
        <v>32</v>
      </c>
      <c r="O2" s="1" t="s">
        <v>33</v>
      </c>
      <c r="Q2" s="1" t="s">
        <v>32</v>
      </c>
      <c r="R2" s="1" t="s">
        <v>33</v>
      </c>
      <c r="T2" s="1" t="s">
        <v>32</v>
      </c>
      <c r="U2" s="1" t="s">
        <v>33</v>
      </c>
      <c r="W2" s="1" t="s">
        <v>32</v>
      </c>
      <c r="X2" s="1" t="s">
        <v>33</v>
      </c>
      <c r="Z2" s="1" t="s">
        <v>32</v>
      </c>
      <c r="AA2" s="1" t="s">
        <v>33</v>
      </c>
      <c r="AC2" s="1" t="s">
        <v>32</v>
      </c>
      <c r="AD2" s="1" t="s">
        <v>33</v>
      </c>
      <c r="AF2" s="1" t="s">
        <v>32</v>
      </c>
      <c r="AG2" s="1" t="s">
        <v>33</v>
      </c>
      <c r="AI2" s="1" t="s">
        <v>32</v>
      </c>
      <c r="AJ2" s="1" t="s">
        <v>33</v>
      </c>
      <c r="AL2" s="1" t="s">
        <v>32</v>
      </c>
      <c r="AM2" s="1" t="s">
        <v>33</v>
      </c>
      <c r="AO2" s="1" t="s">
        <v>32</v>
      </c>
      <c r="AP2" s="1" t="s">
        <v>33</v>
      </c>
      <c r="AR2" s="1" t="s">
        <v>32</v>
      </c>
      <c r="AS2" s="1" t="s">
        <v>33</v>
      </c>
      <c r="AU2" s="1" t="s">
        <v>32</v>
      </c>
      <c r="AV2" s="1" t="s">
        <v>33</v>
      </c>
    </row>
    <row r="3" spans="2:48" x14ac:dyDescent="0.35">
      <c r="B3" s="38">
        <v>0</v>
      </c>
      <c r="C3" s="38">
        <v>59.225999999999999</v>
      </c>
      <c r="E3" s="38">
        <v>0</v>
      </c>
      <c r="F3" s="38">
        <v>61.524000000000001</v>
      </c>
      <c r="H3" s="53">
        <v>0</v>
      </c>
      <c r="I3" s="53">
        <v>65.980999999999995</v>
      </c>
      <c r="K3" s="53">
        <v>0</v>
      </c>
      <c r="L3" s="53">
        <v>69.658000000000001</v>
      </c>
      <c r="N3" s="53">
        <v>0</v>
      </c>
      <c r="O3" s="53">
        <v>72.861000000000004</v>
      </c>
      <c r="Q3" s="53">
        <v>0</v>
      </c>
      <c r="R3" s="53">
        <v>63.703000000000003</v>
      </c>
      <c r="T3" s="53">
        <v>0</v>
      </c>
      <c r="U3" s="53">
        <v>63.585000000000001</v>
      </c>
      <c r="W3" s="53">
        <v>0</v>
      </c>
      <c r="X3" s="53">
        <v>61.478999999999999</v>
      </c>
      <c r="Z3" s="53">
        <v>0</v>
      </c>
      <c r="AA3" s="53">
        <v>60.746000000000002</v>
      </c>
      <c r="AC3" s="53">
        <v>0</v>
      </c>
      <c r="AD3" s="53">
        <v>58.18</v>
      </c>
      <c r="AF3" s="53">
        <v>0</v>
      </c>
      <c r="AG3" s="53">
        <v>65.373999999999995</v>
      </c>
      <c r="AI3" s="53">
        <v>0</v>
      </c>
      <c r="AJ3" s="53">
        <v>71.513999999999996</v>
      </c>
      <c r="AL3" s="53">
        <v>0</v>
      </c>
      <c r="AM3" s="53">
        <v>69.513999999999996</v>
      </c>
      <c r="AO3" s="38">
        <v>0</v>
      </c>
      <c r="AP3" s="38">
        <v>76.296999999999997</v>
      </c>
      <c r="AR3" s="38">
        <v>0</v>
      </c>
      <c r="AS3" s="38">
        <v>61.143999999999998</v>
      </c>
      <c r="AU3" s="38">
        <v>0</v>
      </c>
      <c r="AV3" s="38">
        <v>61.597000000000001</v>
      </c>
    </row>
    <row r="4" spans="2:48" x14ac:dyDescent="0.35">
      <c r="B4" s="38">
        <v>76</v>
      </c>
      <c r="C4" s="38">
        <v>58.881999999999998</v>
      </c>
      <c r="E4" s="38">
        <v>131</v>
      </c>
      <c r="F4" s="38">
        <v>61.39</v>
      </c>
      <c r="H4" s="53">
        <v>444</v>
      </c>
      <c r="I4" s="53">
        <v>65.634</v>
      </c>
      <c r="K4" s="53">
        <v>125</v>
      </c>
      <c r="L4" s="53">
        <v>70.313999999999993</v>
      </c>
      <c r="N4" s="53">
        <v>73</v>
      </c>
      <c r="O4" s="53">
        <v>72.176000000000002</v>
      </c>
      <c r="Q4" s="53">
        <v>415</v>
      </c>
      <c r="R4" s="53">
        <v>65.048000000000002</v>
      </c>
      <c r="T4" s="53">
        <v>146</v>
      </c>
      <c r="U4" s="53">
        <v>63.994999999999997</v>
      </c>
      <c r="W4" s="53">
        <v>278</v>
      </c>
      <c r="X4" s="53">
        <v>62.688000000000002</v>
      </c>
      <c r="Y4" s="19" t="s">
        <v>288</v>
      </c>
      <c r="Z4" s="39">
        <v>66</v>
      </c>
      <c r="AA4" s="39">
        <v>61.707999999999998</v>
      </c>
      <c r="AC4" s="38">
        <v>98</v>
      </c>
      <c r="AD4" s="38">
        <v>58.098999999999997</v>
      </c>
      <c r="AF4" s="38">
        <v>237</v>
      </c>
      <c r="AG4" s="38">
        <v>65.3</v>
      </c>
      <c r="AI4" s="53">
        <v>61</v>
      </c>
      <c r="AJ4" s="53">
        <v>72.457999999999998</v>
      </c>
      <c r="AL4" s="53">
        <v>196</v>
      </c>
      <c r="AM4" s="53">
        <v>69.313000000000002</v>
      </c>
      <c r="AO4" s="38">
        <v>204</v>
      </c>
      <c r="AP4" s="38">
        <v>76.856999999999999</v>
      </c>
      <c r="AR4" s="38">
        <v>104</v>
      </c>
      <c r="AS4" s="38">
        <v>61.523000000000003</v>
      </c>
      <c r="AU4" s="38">
        <v>91</v>
      </c>
      <c r="AV4" s="38">
        <v>61.779000000000003</v>
      </c>
    </row>
    <row r="5" spans="2:48" x14ac:dyDescent="0.35">
      <c r="B5" s="38">
        <v>146</v>
      </c>
      <c r="C5" s="38">
        <v>57.664000000000001</v>
      </c>
      <c r="E5" s="38">
        <v>256</v>
      </c>
      <c r="F5" s="38">
        <v>61.936999999999998</v>
      </c>
      <c r="H5" s="53">
        <v>586</v>
      </c>
      <c r="I5" s="53">
        <v>66.066000000000003</v>
      </c>
      <c r="K5" s="53">
        <v>320</v>
      </c>
      <c r="L5" s="53">
        <v>69.417000000000002</v>
      </c>
      <c r="N5" s="53">
        <v>285</v>
      </c>
      <c r="O5" s="53">
        <v>71.652000000000001</v>
      </c>
      <c r="Q5" s="53">
        <v>719</v>
      </c>
      <c r="R5" s="53">
        <v>66.48</v>
      </c>
      <c r="T5" s="53">
        <v>280</v>
      </c>
      <c r="U5" s="53">
        <v>63.250999999999998</v>
      </c>
      <c r="V5" s="13" t="s">
        <v>286</v>
      </c>
      <c r="W5" s="40">
        <v>352</v>
      </c>
      <c r="X5" s="40">
        <v>62.915999999999997</v>
      </c>
      <c r="Z5" s="38">
        <v>162</v>
      </c>
      <c r="AA5" s="38">
        <v>61.162999999999997</v>
      </c>
      <c r="AC5" s="38">
        <v>366</v>
      </c>
      <c r="AD5" s="38">
        <v>55.98</v>
      </c>
      <c r="AF5" s="53">
        <v>448</v>
      </c>
      <c r="AG5" s="53">
        <v>65.103999999999999</v>
      </c>
      <c r="AI5" s="53">
        <v>162</v>
      </c>
      <c r="AJ5" s="53">
        <v>71.927999999999997</v>
      </c>
      <c r="AL5" s="53">
        <v>345</v>
      </c>
      <c r="AM5" s="53">
        <v>69.322000000000003</v>
      </c>
      <c r="AO5" s="38">
        <v>369</v>
      </c>
      <c r="AP5" s="38">
        <v>76.515000000000001</v>
      </c>
      <c r="AR5" s="38">
        <v>221</v>
      </c>
      <c r="AS5" s="38">
        <v>62.807000000000002</v>
      </c>
      <c r="AU5" s="38">
        <v>227</v>
      </c>
      <c r="AV5" s="38">
        <v>61.786999999999999</v>
      </c>
    </row>
    <row r="6" spans="2:48" x14ac:dyDescent="0.35">
      <c r="B6" s="38">
        <v>203</v>
      </c>
      <c r="C6" s="38">
        <v>60.207000000000001</v>
      </c>
      <c r="E6" s="38">
        <v>326</v>
      </c>
      <c r="F6" s="38">
        <v>62.564999999999998</v>
      </c>
      <c r="H6" s="53">
        <v>651</v>
      </c>
      <c r="I6" s="53">
        <v>65.578999999999994</v>
      </c>
      <c r="K6" s="53">
        <v>447</v>
      </c>
      <c r="L6" s="53">
        <v>68.882000000000005</v>
      </c>
      <c r="N6" s="53">
        <v>441</v>
      </c>
      <c r="O6" s="53">
        <v>70.138000000000005</v>
      </c>
      <c r="Q6" s="53">
        <v>901</v>
      </c>
      <c r="R6" s="53">
        <v>65.593000000000004</v>
      </c>
      <c r="T6" s="53">
        <v>430</v>
      </c>
      <c r="U6" s="53">
        <v>61.338000000000001</v>
      </c>
      <c r="W6" s="53">
        <v>487</v>
      </c>
      <c r="X6" s="53">
        <v>62.048999999999999</v>
      </c>
      <c r="Z6" s="53">
        <v>278</v>
      </c>
      <c r="AA6" s="53">
        <v>60.859000000000002</v>
      </c>
      <c r="AB6" s="13" t="s">
        <v>124</v>
      </c>
      <c r="AC6" s="40">
        <v>476</v>
      </c>
      <c r="AD6" s="40">
        <v>53.363999999999997</v>
      </c>
      <c r="AF6" s="38">
        <v>608</v>
      </c>
      <c r="AG6" s="38">
        <v>65.512</v>
      </c>
      <c r="AI6" s="53">
        <v>307</v>
      </c>
      <c r="AJ6" s="53">
        <v>72.206000000000003</v>
      </c>
      <c r="AL6" s="53">
        <v>487</v>
      </c>
      <c r="AM6" s="53">
        <v>68.959000000000003</v>
      </c>
      <c r="AO6" s="38">
        <v>465</v>
      </c>
      <c r="AP6" s="38">
        <v>75.674999999999997</v>
      </c>
      <c r="AR6" s="38">
        <v>363</v>
      </c>
      <c r="AS6" s="38">
        <v>62.375</v>
      </c>
      <c r="AU6" s="38">
        <v>375</v>
      </c>
      <c r="AV6" s="38">
        <v>63.180999999999997</v>
      </c>
    </row>
    <row r="7" spans="2:48" x14ac:dyDescent="0.35">
      <c r="B7" s="38">
        <v>291</v>
      </c>
      <c r="C7" s="38">
        <v>59.56</v>
      </c>
      <c r="E7" s="38">
        <v>492</v>
      </c>
      <c r="F7" s="38">
        <v>63.226999999999997</v>
      </c>
      <c r="H7" s="53">
        <v>777</v>
      </c>
      <c r="I7" s="53">
        <v>66.313000000000002</v>
      </c>
      <c r="K7" s="53">
        <v>606</v>
      </c>
      <c r="L7" s="53">
        <v>69.503</v>
      </c>
      <c r="N7" s="53">
        <v>572</v>
      </c>
      <c r="O7" s="53">
        <v>70.900999999999996</v>
      </c>
      <c r="Q7" s="53">
        <v>1190</v>
      </c>
      <c r="R7" s="53">
        <v>67.747</v>
      </c>
      <c r="T7" s="53">
        <v>517</v>
      </c>
      <c r="U7" s="53">
        <v>60.1</v>
      </c>
      <c r="W7" s="53">
        <v>645</v>
      </c>
      <c r="X7" s="53">
        <v>63.670999999999999</v>
      </c>
      <c r="Z7" s="53">
        <v>403</v>
      </c>
      <c r="AA7" s="53">
        <v>61.302999999999997</v>
      </c>
      <c r="AC7" s="53">
        <v>587</v>
      </c>
      <c r="AD7" s="53">
        <v>51.735999999999997</v>
      </c>
      <c r="AF7" s="53">
        <v>744</v>
      </c>
      <c r="AG7" s="53">
        <v>64.492999999999995</v>
      </c>
      <c r="AI7" s="53">
        <v>392</v>
      </c>
      <c r="AJ7" s="53">
        <v>72.522000000000006</v>
      </c>
      <c r="AL7" s="53">
        <v>636</v>
      </c>
      <c r="AM7" s="53">
        <v>70.087999999999994</v>
      </c>
      <c r="AO7" s="38">
        <v>547</v>
      </c>
      <c r="AP7" s="38">
        <v>76.424000000000007</v>
      </c>
      <c r="AR7" s="38">
        <v>496</v>
      </c>
      <c r="AS7" s="38">
        <v>62.372999999999998</v>
      </c>
      <c r="AU7" s="38">
        <v>460</v>
      </c>
      <c r="AV7" s="38">
        <v>62.704000000000001</v>
      </c>
    </row>
    <row r="8" spans="2:48" x14ac:dyDescent="0.35">
      <c r="B8" s="38">
        <v>395</v>
      </c>
      <c r="C8" s="38">
        <v>60.396000000000001</v>
      </c>
      <c r="E8" s="38">
        <v>640</v>
      </c>
      <c r="F8" s="38">
        <v>63.645000000000003</v>
      </c>
      <c r="H8" s="53">
        <v>892</v>
      </c>
      <c r="I8" s="53">
        <v>65.846000000000004</v>
      </c>
      <c r="K8" s="53">
        <v>748</v>
      </c>
      <c r="L8" s="53">
        <v>68.301000000000002</v>
      </c>
      <c r="N8" s="53">
        <v>665</v>
      </c>
      <c r="O8" s="53">
        <v>71.174000000000007</v>
      </c>
      <c r="Q8" s="53">
        <v>1279</v>
      </c>
      <c r="R8" s="53">
        <v>66.379000000000005</v>
      </c>
      <c r="T8" s="53">
        <v>637</v>
      </c>
      <c r="U8" s="53">
        <v>60.536000000000001</v>
      </c>
      <c r="W8" s="53">
        <v>730</v>
      </c>
      <c r="X8" s="53">
        <v>62.466000000000001</v>
      </c>
      <c r="Z8" s="53">
        <v>531</v>
      </c>
      <c r="AA8" s="53">
        <v>61.905000000000001</v>
      </c>
      <c r="AC8" s="53">
        <v>746</v>
      </c>
      <c r="AD8" s="53">
        <v>57.823999999999998</v>
      </c>
      <c r="AF8" s="53">
        <v>855</v>
      </c>
      <c r="AG8" s="53">
        <v>64.546999999999997</v>
      </c>
      <c r="AI8" s="53">
        <v>478</v>
      </c>
      <c r="AJ8" s="53">
        <v>71.781000000000006</v>
      </c>
      <c r="AL8" s="53">
        <v>794</v>
      </c>
      <c r="AM8" s="53">
        <v>70.355999999999995</v>
      </c>
      <c r="AO8" s="38">
        <v>636</v>
      </c>
      <c r="AP8" s="38">
        <v>75.284999999999997</v>
      </c>
      <c r="AR8" s="38">
        <v>618</v>
      </c>
      <c r="AS8" s="38">
        <v>60.94</v>
      </c>
      <c r="AU8" s="38">
        <v>632</v>
      </c>
      <c r="AV8" s="38">
        <v>62.420999999999999</v>
      </c>
    </row>
    <row r="9" spans="2:48" x14ac:dyDescent="0.35">
      <c r="B9" s="38">
        <v>662</v>
      </c>
      <c r="C9" s="38">
        <v>61.454000000000001</v>
      </c>
      <c r="E9" s="38">
        <v>789</v>
      </c>
      <c r="F9" s="38">
        <v>63.667000000000002</v>
      </c>
      <c r="H9" s="53">
        <v>1133</v>
      </c>
      <c r="I9" s="53">
        <v>65.781999999999996</v>
      </c>
      <c r="K9" s="53">
        <v>833</v>
      </c>
      <c r="L9" s="53">
        <v>69.201999999999998</v>
      </c>
      <c r="N9" s="53">
        <v>810</v>
      </c>
      <c r="O9" s="53">
        <v>70.41</v>
      </c>
      <c r="Q9" s="53">
        <v>1453</v>
      </c>
      <c r="R9" s="53">
        <v>65.933999999999997</v>
      </c>
      <c r="S9" s="19" t="s">
        <v>125</v>
      </c>
      <c r="T9" s="9">
        <v>716</v>
      </c>
      <c r="U9" s="9">
        <v>60.584000000000003</v>
      </c>
      <c r="W9" s="53">
        <v>822</v>
      </c>
      <c r="X9" s="53">
        <v>62.384</v>
      </c>
      <c r="Z9" s="53">
        <v>669</v>
      </c>
      <c r="AA9" s="53">
        <v>62.042999999999999</v>
      </c>
      <c r="AC9" s="53">
        <v>875</v>
      </c>
      <c r="AD9" s="53">
        <v>59.872</v>
      </c>
      <c r="AF9" s="53">
        <v>969</v>
      </c>
      <c r="AG9" s="53">
        <v>64.198999999999998</v>
      </c>
      <c r="AI9" s="53">
        <v>618</v>
      </c>
      <c r="AJ9" s="53">
        <v>71.75</v>
      </c>
      <c r="AL9" s="53">
        <v>907</v>
      </c>
      <c r="AM9" s="53">
        <v>69.899000000000001</v>
      </c>
      <c r="AO9" s="38">
        <v>717</v>
      </c>
      <c r="AP9" s="38">
        <v>75.878</v>
      </c>
      <c r="AR9" s="38">
        <v>721</v>
      </c>
      <c r="AS9" s="38">
        <v>60.831000000000003</v>
      </c>
      <c r="AU9" s="38">
        <v>784</v>
      </c>
      <c r="AV9" s="38">
        <v>63.302999999999997</v>
      </c>
    </row>
    <row r="10" spans="2:48" x14ac:dyDescent="0.35">
      <c r="B10" s="38">
        <v>758</v>
      </c>
      <c r="C10" s="38">
        <v>61.143999999999998</v>
      </c>
      <c r="E10" s="38">
        <v>926</v>
      </c>
      <c r="F10" s="38">
        <v>64.314999999999998</v>
      </c>
      <c r="H10" s="53">
        <v>1225</v>
      </c>
      <c r="I10" s="53">
        <v>64.236999999999995</v>
      </c>
      <c r="K10" s="53">
        <v>977</v>
      </c>
      <c r="L10" s="53">
        <v>69.084999999999994</v>
      </c>
      <c r="N10" s="53">
        <v>928</v>
      </c>
      <c r="O10" s="53">
        <v>70.501000000000005</v>
      </c>
      <c r="Q10" s="53">
        <v>1606</v>
      </c>
      <c r="R10" s="53">
        <v>65.054000000000002</v>
      </c>
      <c r="T10" s="53">
        <v>840</v>
      </c>
      <c r="U10" s="53">
        <v>61.646000000000001</v>
      </c>
      <c r="W10" s="53">
        <v>910</v>
      </c>
      <c r="X10" s="53">
        <v>61.348999999999997</v>
      </c>
      <c r="Z10" s="53">
        <v>805</v>
      </c>
      <c r="AA10" s="53">
        <v>62.683999999999997</v>
      </c>
      <c r="AC10" s="53">
        <v>1001</v>
      </c>
      <c r="AD10" s="53">
        <v>59.661999999999999</v>
      </c>
      <c r="AF10" s="53">
        <v>1097</v>
      </c>
      <c r="AG10" s="53">
        <v>63.893000000000001</v>
      </c>
      <c r="AI10" s="53">
        <v>756</v>
      </c>
      <c r="AJ10" s="53">
        <v>71.215999999999994</v>
      </c>
      <c r="AL10" s="53">
        <v>1032</v>
      </c>
      <c r="AM10" s="53">
        <v>68.481999999999999</v>
      </c>
      <c r="AO10" s="38">
        <v>820</v>
      </c>
      <c r="AP10" s="38">
        <v>76.037000000000006</v>
      </c>
      <c r="AR10" s="38">
        <v>859</v>
      </c>
      <c r="AS10" s="38">
        <v>60.984999999999999</v>
      </c>
      <c r="AU10" s="38">
        <v>1035</v>
      </c>
      <c r="AV10" s="38">
        <v>62.22</v>
      </c>
    </row>
    <row r="11" spans="2:48" x14ac:dyDescent="0.35">
      <c r="B11" s="38">
        <v>844</v>
      </c>
      <c r="C11" s="38">
        <v>61.956000000000003</v>
      </c>
      <c r="E11" s="38">
        <v>1059</v>
      </c>
      <c r="F11" s="38">
        <v>62.374000000000002</v>
      </c>
      <c r="H11" s="53">
        <v>1370</v>
      </c>
      <c r="I11" s="53">
        <v>64.602000000000004</v>
      </c>
      <c r="K11" s="53">
        <v>1059</v>
      </c>
      <c r="L11" s="53">
        <v>68.412000000000006</v>
      </c>
      <c r="N11" s="53">
        <v>1055</v>
      </c>
      <c r="O11" s="53">
        <v>70.141999999999996</v>
      </c>
      <c r="Q11" s="53">
        <v>1726</v>
      </c>
      <c r="R11" s="53">
        <v>64.953999999999994</v>
      </c>
      <c r="T11" s="53">
        <v>976</v>
      </c>
      <c r="U11" s="53">
        <v>61.66</v>
      </c>
      <c r="W11" s="53">
        <v>1018</v>
      </c>
      <c r="X11" s="53">
        <v>62.637999999999998</v>
      </c>
      <c r="Z11" s="53">
        <v>949</v>
      </c>
      <c r="AA11" s="53">
        <v>62.482999999999997</v>
      </c>
      <c r="AC11" s="53">
        <v>1258</v>
      </c>
      <c r="AD11" s="53">
        <v>60.71</v>
      </c>
      <c r="AF11" s="53">
        <v>1225</v>
      </c>
      <c r="AG11" s="53">
        <v>60.851999999999997</v>
      </c>
      <c r="AI11" s="53">
        <v>886</v>
      </c>
      <c r="AJ11" s="53">
        <v>71.218000000000004</v>
      </c>
      <c r="AL11" s="53">
        <v>1158</v>
      </c>
      <c r="AM11" s="53">
        <v>68.165999999999997</v>
      </c>
      <c r="AO11" s="38">
        <v>980</v>
      </c>
      <c r="AP11" s="38">
        <v>76.198999999999998</v>
      </c>
      <c r="AR11" s="38">
        <v>983</v>
      </c>
      <c r="AS11" s="38">
        <v>61.554000000000002</v>
      </c>
      <c r="AU11" s="38">
        <v>1180</v>
      </c>
      <c r="AV11" s="38">
        <v>62.51</v>
      </c>
    </row>
    <row r="12" spans="2:48" x14ac:dyDescent="0.35">
      <c r="B12" s="38">
        <v>928</v>
      </c>
      <c r="C12" s="38">
        <v>61.183999999999997</v>
      </c>
      <c r="D12" s="13" t="s">
        <v>234</v>
      </c>
      <c r="E12" s="15">
        <v>1116</v>
      </c>
      <c r="F12" s="15">
        <v>62.375999999999998</v>
      </c>
      <c r="H12" s="53">
        <v>1461</v>
      </c>
      <c r="I12" s="53">
        <v>63.697000000000003</v>
      </c>
      <c r="K12" s="53">
        <v>1140</v>
      </c>
      <c r="L12" s="53">
        <v>68.262</v>
      </c>
      <c r="N12" s="53">
        <v>1182</v>
      </c>
      <c r="O12" s="53">
        <v>71.150000000000006</v>
      </c>
      <c r="Q12" s="53">
        <v>1867</v>
      </c>
      <c r="R12" s="53">
        <v>64.346999999999994</v>
      </c>
      <c r="T12" s="53">
        <v>1109</v>
      </c>
      <c r="U12" s="53">
        <v>61.475000000000001</v>
      </c>
      <c r="W12" s="53">
        <v>1191</v>
      </c>
      <c r="X12" s="53">
        <v>62.573999999999998</v>
      </c>
      <c r="Z12" s="53">
        <v>1063</v>
      </c>
      <c r="AA12" s="53">
        <v>63.46</v>
      </c>
      <c r="AC12" s="53">
        <v>1392</v>
      </c>
      <c r="AD12" s="53">
        <v>60.335000000000001</v>
      </c>
      <c r="AF12" s="53">
        <v>1385</v>
      </c>
      <c r="AG12" s="53">
        <v>63.118000000000002</v>
      </c>
      <c r="AI12" s="53">
        <v>1025</v>
      </c>
      <c r="AJ12" s="53">
        <v>70.347999999999999</v>
      </c>
      <c r="AL12" s="53">
        <v>1294</v>
      </c>
      <c r="AM12" s="53">
        <v>68.201999999999998</v>
      </c>
      <c r="AO12" s="38">
        <v>1064</v>
      </c>
      <c r="AP12" s="38">
        <v>75.552000000000007</v>
      </c>
      <c r="AR12" s="38">
        <v>1115</v>
      </c>
      <c r="AS12" s="38">
        <v>61.917999999999999</v>
      </c>
      <c r="AU12" s="38">
        <v>1332</v>
      </c>
      <c r="AV12" s="38">
        <v>61.917000000000002</v>
      </c>
    </row>
    <row r="13" spans="2:48" x14ac:dyDescent="0.35">
      <c r="B13" s="38">
        <v>1054</v>
      </c>
      <c r="C13" s="38">
        <v>61.24</v>
      </c>
      <c r="H13" s="53">
        <v>1797</v>
      </c>
      <c r="I13" s="53">
        <v>64.792000000000002</v>
      </c>
      <c r="K13" s="53">
        <v>1230</v>
      </c>
      <c r="L13" s="53">
        <v>67.546000000000006</v>
      </c>
      <c r="N13" s="53">
        <v>1306</v>
      </c>
      <c r="O13" s="53">
        <v>69.17</v>
      </c>
      <c r="Q13" s="53">
        <v>1955</v>
      </c>
      <c r="R13" s="53">
        <v>63.216000000000001</v>
      </c>
      <c r="T13" s="53">
        <v>1201</v>
      </c>
      <c r="U13" s="53">
        <v>60.996000000000002</v>
      </c>
      <c r="W13" s="53">
        <v>1320</v>
      </c>
      <c r="X13" s="53">
        <v>63.206000000000003</v>
      </c>
      <c r="Z13" s="53">
        <v>1185</v>
      </c>
      <c r="AA13" s="53">
        <v>62.859000000000002</v>
      </c>
      <c r="AC13" s="53">
        <v>1530</v>
      </c>
      <c r="AD13" s="53">
        <v>61.734999999999999</v>
      </c>
      <c r="AF13" s="53">
        <v>1528</v>
      </c>
      <c r="AG13" s="53">
        <v>62.317999999999998</v>
      </c>
      <c r="AI13" s="53">
        <v>1161</v>
      </c>
      <c r="AJ13" s="53">
        <v>69.570999999999998</v>
      </c>
      <c r="AL13" s="53">
        <v>1427</v>
      </c>
      <c r="AM13" s="53">
        <v>68.132999999999996</v>
      </c>
      <c r="AO13" s="38">
        <v>1149</v>
      </c>
      <c r="AP13" s="38">
        <v>76.747</v>
      </c>
      <c r="AR13" s="38">
        <v>1259</v>
      </c>
      <c r="AS13" s="38">
        <v>62.241</v>
      </c>
      <c r="AU13" s="38">
        <v>1487</v>
      </c>
      <c r="AV13" s="38">
        <v>61.506</v>
      </c>
    </row>
    <row r="14" spans="2:48" x14ac:dyDescent="0.35">
      <c r="B14" s="38">
        <v>1191</v>
      </c>
      <c r="C14" s="38">
        <v>60.805999999999997</v>
      </c>
      <c r="G14" s="19" t="s">
        <v>234</v>
      </c>
      <c r="H14" s="9">
        <v>1820</v>
      </c>
      <c r="I14" s="9">
        <v>64.200999999999993</v>
      </c>
      <c r="K14" s="53">
        <v>1360</v>
      </c>
      <c r="L14" s="53">
        <v>68.144999999999996</v>
      </c>
      <c r="N14" s="53">
        <v>1429</v>
      </c>
      <c r="O14" s="53">
        <v>69.271000000000001</v>
      </c>
      <c r="Q14" s="53">
        <v>2060</v>
      </c>
      <c r="R14" s="53">
        <v>63.62</v>
      </c>
      <c r="T14" s="38">
        <v>1325</v>
      </c>
      <c r="U14" s="53">
        <v>61.921999999999997</v>
      </c>
      <c r="W14" s="53">
        <v>1403</v>
      </c>
      <c r="X14" s="53">
        <v>62.854999999999997</v>
      </c>
      <c r="Z14" s="53">
        <v>1297</v>
      </c>
      <c r="AA14" s="53">
        <v>62.219000000000001</v>
      </c>
      <c r="AC14" s="53">
        <v>1649</v>
      </c>
      <c r="AD14" s="53">
        <v>61.152999999999999</v>
      </c>
      <c r="AF14" s="53">
        <v>1664</v>
      </c>
      <c r="AG14" s="53">
        <v>63.719000000000001</v>
      </c>
      <c r="AI14" s="53">
        <v>1292</v>
      </c>
      <c r="AJ14" s="53">
        <v>69.715999999999994</v>
      </c>
      <c r="AL14" s="53">
        <v>1570</v>
      </c>
      <c r="AM14" s="53">
        <v>66.879000000000005</v>
      </c>
      <c r="AO14" s="38">
        <v>1395</v>
      </c>
      <c r="AP14" s="38">
        <v>74.186999999999998</v>
      </c>
      <c r="AR14" s="38">
        <v>1388</v>
      </c>
      <c r="AS14" s="38">
        <v>61.58</v>
      </c>
      <c r="AU14" s="38">
        <v>1568</v>
      </c>
      <c r="AV14" s="38">
        <v>61.728999999999999</v>
      </c>
    </row>
    <row r="15" spans="2:48" x14ac:dyDescent="0.35">
      <c r="B15" s="38">
        <v>1322</v>
      </c>
      <c r="C15" s="38">
        <v>59.280999999999999</v>
      </c>
      <c r="K15" s="53">
        <v>1507</v>
      </c>
      <c r="L15" s="53">
        <v>67.25</v>
      </c>
      <c r="N15" s="53">
        <v>1550</v>
      </c>
      <c r="O15" s="53">
        <v>68.968999999999994</v>
      </c>
      <c r="P15" s="13" t="s">
        <v>234</v>
      </c>
      <c r="Q15" s="40">
        <v>2175</v>
      </c>
      <c r="R15" s="40">
        <v>64.200999999999993</v>
      </c>
      <c r="T15" s="38">
        <v>1462</v>
      </c>
      <c r="U15" s="53">
        <v>61.136000000000003</v>
      </c>
      <c r="W15" s="53">
        <v>1486</v>
      </c>
      <c r="X15" s="53">
        <v>63.597999999999999</v>
      </c>
      <c r="Z15" s="53">
        <v>1445</v>
      </c>
      <c r="AA15" s="53">
        <v>62.265000000000001</v>
      </c>
      <c r="AC15" s="53">
        <v>1766</v>
      </c>
      <c r="AD15" s="53">
        <v>60.39</v>
      </c>
      <c r="AF15" s="53">
        <v>1803</v>
      </c>
      <c r="AG15" s="53">
        <v>64.826999999999998</v>
      </c>
      <c r="AI15" s="53">
        <v>1442</v>
      </c>
      <c r="AJ15" s="53">
        <v>69.055000000000007</v>
      </c>
      <c r="AL15" s="53">
        <v>1699</v>
      </c>
      <c r="AM15" s="53">
        <v>67.745000000000005</v>
      </c>
      <c r="AO15" s="38">
        <v>1544</v>
      </c>
      <c r="AP15" s="38">
        <v>75.837999999999994</v>
      </c>
      <c r="AQ15" s="19" t="s">
        <v>290</v>
      </c>
      <c r="AR15" s="9">
        <v>1706</v>
      </c>
      <c r="AS15" s="9">
        <v>61.707999999999998</v>
      </c>
      <c r="AU15" s="38">
        <v>1720</v>
      </c>
      <c r="AV15" s="38">
        <v>62.078000000000003</v>
      </c>
    </row>
    <row r="16" spans="2:48" x14ac:dyDescent="0.35">
      <c r="B16" s="38">
        <v>1445</v>
      </c>
      <c r="C16" s="38">
        <v>60.685000000000002</v>
      </c>
      <c r="K16" s="53">
        <v>1623</v>
      </c>
      <c r="L16" s="53">
        <v>67.936000000000007</v>
      </c>
      <c r="N16" s="53">
        <v>1667</v>
      </c>
      <c r="O16" s="53">
        <v>68.483999999999995</v>
      </c>
      <c r="T16" s="38">
        <v>1596</v>
      </c>
      <c r="U16" s="53">
        <v>62.110999999999997</v>
      </c>
      <c r="W16" s="53">
        <v>1626</v>
      </c>
      <c r="X16" s="53">
        <v>63.881</v>
      </c>
      <c r="Z16" s="53">
        <v>1652</v>
      </c>
      <c r="AA16" s="53">
        <v>62.747999999999998</v>
      </c>
      <c r="AC16" s="53">
        <v>1893</v>
      </c>
      <c r="AD16" s="53">
        <v>60.561999999999998</v>
      </c>
      <c r="AF16" s="53">
        <v>1965</v>
      </c>
      <c r="AG16" s="53">
        <v>66.343000000000004</v>
      </c>
      <c r="AI16" s="53">
        <v>1581</v>
      </c>
      <c r="AJ16" s="53">
        <v>67.430999999999997</v>
      </c>
      <c r="AL16" s="53">
        <v>1836</v>
      </c>
      <c r="AM16" s="53">
        <v>66.858000000000004</v>
      </c>
      <c r="AO16" s="38">
        <v>1693</v>
      </c>
      <c r="AP16" s="38">
        <v>75.099999999999994</v>
      </c>
      <c r="AR16" s="38">
        <v>1802</v>
      </c>
      <c r="AS16" s="38">
        <v>61.162999999999997</v>
      </c>
      <c r="AU16" s="38">
        <v>1801</v>
      </c>
      <c r="AV16" s="38">
        <v>62.215000000000003</v>
      </c>
    </row>
    <row r="17" spans="1:48" x14ac:dyDescent="0.35">
      <c r="B17" s="38">
        <v>1547</v>
      </c>
      <c r="C17" s="38">
        <v>61.545000000000002</v>
      </c>
      <c r="K17" s="53">
        <v>1707</v>
      </c>
      <c r="L17" s="53">
        <v>67.826999999999998</v>
      </c>
      <c r="N17" s="53">
        <v>1793</v>
      </c>
      <c r="O17" s="53">
        <v>67.507999999999996</v>
      </c>
      <c r="S17" s="19" t="s">
        <v>234</v>
      </c>
      <c r="T17" s="9">
        <v>1646</v>
      </c>
      <c r="U17" s="9">
        <v>62.34</v>
      </c>
      <c r="W17" s="53">
        <v>1786</v>
      </c>
      <c r="X17" s="53">
        <v>64.781000000000006</v>
      </c>
      <c r="Z17" s="53">
        <v>1732</v>
      </c>
      <c r="AA17" s="53">
        <v>62.396000000000001</v>
      </c>
      <c r="AC17" s="53">
        <v>2001</v>
      </c>
      <c r="AD17" s="53">
        <v>60.89</v>
      </c>
      <c r="AF17" s="53">
        <v>2084</v>
      </c>
      <c r="AG17" s="53">
        <v>66.126000000000005</v>
      </c>
      <c r="AI17" s="53">
        <v>1734</v>
      </c>
      <c r="AJ17" s="53">
        <v>65.867000000000004</v>
      </c>
      <c r="AL17" s="53">
        <v>1957</v>
      </c>
      <c r="AM17" s="53">
        <v>66.477999999999994</v>
      </c>
      <c r="AO17" s="38">
        <v>1841</v>
      </c>
      <c r="AP17" s="38">
        <v>76.256</v>
      </c>
      <c r="AR17" s="38">
        <v>1918</v>
      </c>
      <c r="AS17" s="53">
        <v>60.859000000000002</v>
      </c>
      <c r="AT17" s="13" t="s">
        <v>287</v>
      </c>
      <c r="AU17" s="40">
        <v>1952</v>
      </c>
      <c r="AV17" s="40">
        <v>62.915999999999997</v>
      </c>
    </row>
    <row r="18" spans="1:48" x14ac:dyDescent="0.35">
      <c r="B18" s="38">
        <v>1690</v>
      </c>
      <c r="C18" s="38">
        <v>61.445999999999998</v>
      </c>
      <c r="K18" s="53">
        <v>1851</v>
      </c>
      <c r="L18" s="53">
        <v>68.233000000000004</v>
      </c>
      <c r="N18" s="53">
        <v>1934</v>
      </c>
      <c r="O18" s="53">
        <v>65.915000000000006</v>
      </c>
      <c r="W18" s="53">
        <v>1923</v>
      </c>
      <c r="X18" s="53">
        <v>63.698999999999998</v>
      </c>
      <c r="Z18" s="53">
        <v>1866</v>
      </c>
      <c r="AA18" s="53">
        <v>61.926000000000002</v>
      </c>
      <c r="AC18" s="53">
        <v>2122</v>
      </c>
      <c r="AD18" s="53">
        <v>60.122</v>
      </c>
      <c r="AF18" s="53">
        <v>2254</v>
      </c>
      <c r="AG18" s="53">
        <v>66.896000000000001</v>
      </c>
      <c r="AI18" s="53">
        <v>1856</v>
      </c>
      <c r="AJ18" s="53">
        <v>65.599000000000004</v>
      </c>
      <c r="AL18" s="53">
        <v>2078</v>
      </c>
      <c r="AM18" s="53">
        <v>66.992999999999995</v>
      </c>
      <c r="AO18" s="38">
        <v>1982</v>
      </c>
      <c r="AP18" s="38">
        <v>74.944999999999993</v>
      </c>
      <c r="AR18" s="38">
        <v>2043</v>
      </c>
      <c r="AS18" s="53">
        <v>61.302999999999997</v>
      </c>
      <c r="AU18" s="38">
        <f>W6-$W$5+$AU$17</f>
        <v>2087</v>
      </c>
      <c r="AV18" s="53">
        <v>62.048999999999999</v>
      </c>
    </row>
    <row r="19" spans="1:48" x14ac:dyDescent="0.35">
      <c r="B19" s="38">
        <v>1834</v>
      </c>
      <c r="C19" s="38">
        <v>61.448</v>
      </c>
      <c r="K19" s="53">
        <v>1968</v>
      </c>
      <c r="L19" s="53">
        <v>67.397000000000006</v>
      </c>
      <c r="N19" s="53">
        <v>2057</v>
      </c>
      <c r="O19" s="53">
        <v>66.602999999999994</v>
      </c>
      <c r="W19" s="53">
        <v>2070</v>
      </c>
      <c r="X19" s="53">
        <v>62.856999999999999</v>
      </c>
      <c r="Y19" s="19" t="s">
        <v>289</v>
      </c>
      <c r="Z19" s="39">
        <v>2000</v>
      </c>
      <c r="AA19" s="39">
        <v>59.194000000000003</v>
      </c>
      <c r="AC19" s="53">
        <v>2241</v>
      </c>
      <c r="AD19" s="53">
        <v>58.625</v>
      </c>
      <c r="AF19" s="53">
        <v>2381</v>
      </c>
      <c r="AG19" s="53">
        <v>68.046999999999997</v>
      </c>
      <c r="AI19" s="53">
        <v>1985</v>
      </c>
      <c r="AJ19" s="53">
        <v>64.305999999999997</v>
      </c>
      <c r="AL19" s="53">
        <v>2201</v>
      </c>
      <c r="AM19" s="53">
        <v>65.551000000000002</v>
      </c>
      <c r="AO19" s="38">
        <v>2068</v>
      </c>
      <c r="AP19" s="38">
        <v>75.287999999999997</v>
      </c>
      <c r="AR19" s="38">
        <v>2171</v>
      </c>
      <c r="AS19" s="53">
        <v>61.905000000000001</v>
      </c>
      <c r="AU19" s="38">
        <f t="shared" ref="AU19:AU39" si="0">W7-$W$5+$AU$17</f>
        <v>2245</v>
      </c>
      <c r="AV19" s="53">
        <v>63.670999999999999</v>
      </c>
    </row>
    <row r="20" spans="1:48" x14ac:dyDescent="0.35">
      <c r="B20" s="38">
        <v>1955</v>
      </c>
      <c r="C20" s="38">
        <v>61.04</v>
      </c>
      <c r="K20" s="53">
        <v>2105</v>
      </c>
      <c r="L20" s="53">
        <v>67.147999999999996</v>
      </c>
      <c r="N20" s="53">
        <v>2174</v>
      </c>
      <c r="O20" s="53">
        <v>67.085999999999999</v>
      </c>
      <c r="W20" s="53">
        <v>2308</v>
      </c>
      <c r="X20" s="53">
        <v>63.23</v>
      </c>
      <c r="Z20" s="53">
        <v>2215</v>
      </c>
      <c r="AA20" s="53">
        <v>62.470999999999997</v>
      </c>
      <c r="AC20" s="53">
        <v>2359</v>
      </c>
      <c r="AD20" s="53">
        <v>60.363999999999997</v>
      </c>
      <c r="AF20" s="53">
        <v>2522</v>
      </c>
      <c r="AG20" s="53">
        <v>68.174999999999997</v>
      </c>
      <c r="AI20" s="53">
        <v>2129</v>
      </c>
      <c r="AJ20" s="53">
        <v>65.855999999999995</v>
      </c>
      <c r="AL20" s="53">
        <v>2312</v>
      </c>
      <c r="AM20" s="53">
        <v>65.906000000000006</v>
      </c>
      <c r="AO20" s="38">
        <v>2151</v>
      </c>
      <c r="AP20" s="38">
        <v>75.334999999999994</v>
      </c>
      <c r="AR20" s="38">
        <v>2309</v>
      </c>
      <c r="AS20" s="53">
        <v>62.042999999999999</v>
      </c>
      <c r="AU20" s="38">
        <f t="shared" si="0"/>
        <v>2330</v>
      </c>
      <c r="AV20" s="53">
        <v>62.466000000000001</v>
      </c>
    </row>
    <row r="21" spans="1:48" x14ac:dyDescent="0.35">
      <c r="B21" s="38">
        <v>2093</v>
      </c>
      <c r="C21" s="38">
        <v>62.683</v>
      </c>
      <c r="K21" s="53">
        <v>2219</v>
      </c>
      <c r="L21" s="53">
        <v>66.513999999999996</v>
      </c>
      <c r="N21" s="53">
        <v>2462</v>
      </c>
      <c r="O21" s="53">
        <v>66.221000000000004</v>
      </c>
      <c r="W21" s="53">
        <v>2392</v>
      </c>
      <c r="X21" s="53">
        <v>61.499000000000002</v>
      </c>
      <c r="Z21" s="53">
        <v>2364</v>
      </c>
      <c r="AA21" s="53">
        <v>61.491999999999997</v>
      </c>
      <c r="AC21" s="53">
        <v>2514</v>
      </c>
      <c r="AD21" s="53">
        <v>62.094000000000001</v>
      </c>
      <c r="AF21" s="53">
        <v>2733</v>
      </c>
      <c r="AG21" s="53">
        <v>66.314999999999998</v>
      </c>
      <c r="AI21" s="53">
        <v>2258</v>
      </c>
      <c r="AJ21" s="53">
        <v>66.683999999999997</v>
      </c>
      <c r="AL21" s="53">
        <v>2445</v>
      </c>
      <c r="AM21" s="53">
        <v>64.715000000000003</v>
      </c>
      <c r="AO21" s="38">
        <v>2292</v>
      </c>
      <c r="AP21" s="38">
        <v>75.096999999999994</v>
      </c>
      <c r="AR21" s="38">
        <v>2445</v>
      </c>
      <c r="AS21" s="53">
        <v>62.683999999999997</v>
      </c>
      <c r="AU21" s="38">
        <f t="shared" si="0"/>
        <v>2422</v>
      </c>
      <c r="AV21" s="53">
        <v>62.384</v>
      </c>
    </row>
    <row r="22" spans="1:48" x14ac:dyDescent="0.35">
      <c r="B22" s="38">
        <v>2238</v>
      </c>
      <c r="C22" s="38">
        <v>62.911999999999999</v>
      </c>
      <c r="K22" s="53">
        <v>2300</v>
      </c>
      <c r="L22" s="53">
        <v>66.433999999999997</v>
      </c>
      <c r="N22" s="53">
        <v>2598</v>
      </c>
      <c r="O22" s="38">
        <v>65.856999999999999</v>
      </c>
      <c r="V22" s="13" t="s">
        <v>124</v>
      </c>
      <c r="W22" s="15">
        <v>2539</v>
      </c>
      <c r="X22" s="15">
        <v>59.194000000000003</v>
      </c>
      <c r="Z22" s="53">
        <v>2460</v>
      </c>
      <c r="AA22" s="53">
        <v>60.927999999999997</v>
      </c>
      <c r="AC22" s="53">
        <v>2640</v>
      </c>
      <c r="AD22" s="53">
        <v>62.155000000000001</v>
      </c>
      <c r="AF22" s="53">
        <v>2819</v>
      </c>
      <c r="AG22" s="53">
        <v>67.947000000000003</v>
      </c>
      <c r="AI22" s="53">
        <v>2400</v>
      </c>
      <c r="AJ22" s="53">
        <v>65.866</v>
      </c>
      <c r="AL22" s="53">
        <v>2530</v>
      </c>
      <c r="AM22" s="53">
        <v>64.774000000000001</v>
      </c>
      <c r="AO22" s="38">
        <v>2383</v>
      </c>
      <c r="AP22" s="38">
        <v>75.284000000000006</v>
      </c>
      <c r="AR22" s="38">
        <v>2589</v>
      </c>
      <c r="AS22" s="53">
        <v>62.482999999999997</v>
      </c>
      <c r="AU22" s="38">
        <f t="shared" si="0"/>
        <v>2510</v>
      </c>
      <c r="AV22" s="53">
        <v>61.348999999999997</v>
      </c>
    </row>
    <row r="23" spans="1:48" x14ac:dyDescent="0.35">
      <c r="B23" s="38">
        <v>2496</v>
      </c>
      <c r="C23" s="38">
        <v>62.593000000000004</v>
      </c>
      <c r="K23" s="53">
        <v>2521</v>
      </c>
      <c r="L23" s="53">
        <v>66.372</v>
      </c>
      <c r="N23" s="53">
        <v>2726</v>
      </c>
      <c r="O23" s="53">
        <v>66.448999999999998</v>
      </c>
      <c r="W23" s="53">
        <v>2889</v>
      </c>
      <c r="X23" s="53">
        <v>61.180999999999997</v>
      </c>
      <c r="Z23" s="53">
        <v>2606</v>
      </c>
      <c r="AA23" s="53">
        <v>60.933</v>
      </c>
      <c r="AC23" s="53">
        <v>2762</v>
      </c>
      <c r="AD23" s="53">
        <v>62.088999999999999</v>
      </c>
      <c r="AF23" s="53">
        <v>3013</v>
      </c>
      <c r="AG23" s="53">
        <v>65.980999999999995</v>
      </c>
      <c r="AI23" s="53">
        <v>2548</v>
      </c>
      <c r="AJ23" s="53">
        <v>67.176000000000002</v>
      </c>
      <c r="AL23" s="53">
        <v>2775</v>
      </c>
      <c r="AM23" s="53">
        <v>64.186999999999998</v>
      </c>
      <c r="AO23" s="38">
        <v>2474</v>
      </c>
      <c r="AP23" s="38">
        <v>75.828000000000003</v>
      </c>
      <c r="AR23" s="38">
        <v>2703</v>
      </c>
      <c r="AS23" s="53">
        <v>63.46</v>
      </c>
      <c r="AU23" s="38">
        <f t="shared" si="0"/>
        <v>2618</v>
      </c>
      <c r="AV23" s="53">
        <v>62.637999999999998</v>
      </c>
    </row>
    <row r="24" spans="1:48" x14ac:dyDescent="0.35">
      <c r="A24" s="19" t="s">
        <v>234</v>
      </c>
      <c r="B24" s="9">
        <v>2667</v>
      </c>
      <c r="C24" s="9">
        <v>62.375999999999998</v>
      </c>
      <c r="K24" s="53">
        <v>2661</v>
      </c>
      <c r="L24" s="53">
        <v>66.337000000000003</v>
      </c>
      <c r="N24" s="53">
        <v>2849</v>
      </c>
      <c r="O24" s="53">
        <v>66.322000000000003</v>
      </c>
      <c r="W24" s="53">
        <v>3024</v>
      </c>
      <c r="X24" s="53">
        <v>62.665999999999997</v>
      </c>
      <c r="Y24" s="19" t="s">
        <v>234</v>
      </c>
      <c r="Z24" s="39">
        <v>2747</v>
      </c>
      <c r="AA24" s="39">
        <v>62.375999999999998</v>
      </c>
      <c r="AC24" s="53">
        <v>2863</v>
      </c>
      <c r="AD24" s="53">
        <v>61.847000000000001</v>
      </c>
      <c r="AF24" s="53">
        <v>3244</v>
      </c>
      <c r="AG24" s="53">
        <v>64.953000000000003</v>
      </c>
      <c r="AI24" s="53">
        <v>2688</v>
      </c>
      <c r="AJ24" s="53">
        <v>66.789000000000001</v>
      </c>
      <c r="AL24" s="53">
        <v>2891</v>
      </c>
      <c r="AM24" s="53">
        <v>63.814</v>
      </c>
      <c r="AO24" s="38">
        <v>2621</v>
      </c>
      <c r="AP24" s="38">
        <v>75.807000000000002</v>
      </c>
      <c r="AR24" s="38">
        <v>2825</v>
      </c>
      <c r="AS24" s="53">
        <v>62.859000000000002</v>
      </c>
      <c r="AU24" s="38">
        <f t="shared" si="0"/>
        <v>2791</v>
      </c>
      <c r="AV24" s="53">
        <v>62.573999999999998</v>
      </c>
    </row>
    <row r="25" spans="1:48" x14ac:dyDescent="0.35">
      <c r="K25" s="53">
        <v>2865</v>
      </c>
      <c r="L25" s="53">
        <v>66.066000000000003</v>
      </c>
      <c r="N25" s="38">
        <f>N24+121</f>
        <v>2970</v>
      </c>
      <c r="O25" s="53">
        <v>66.652000000000001</v>
      </c>
      <c r="W25" s="53">
        <v>3113</v>
      </c>
      <c r="X25" s="53">
        <v>61.046999999999997</v>
      </c>
      <c r="AC25" s="53">
        <v>2979</v>
      </c>
      <c r="AD25" s="53">
        <v>61.784999999999997</v>
      </c>
      <c r="AF25" s="53">
        <v>3481</v>
      </c>
      <c r="AG25" s="53">
        <v>64.233000000000004</v>
      </c>
      <c r="AI25" s="53">
        <v>2816</v>
      </c>
      <c r="AJ25" s="53">
        <v>66.977000000000004</v>
      </c>
      <c r="AL25" s="53">
        <v>3022</v>
      </c>
      <c r="AM25" s="53">
        <v>62.53</v>
      </c>
      <c r="AO25" s="38">
        <v>2779</v>
      </c>
      <c r="AP25" s="38">
        <v>74.759</v>
      </c>
      <c r="AR25" s="38">
        <v>2937</v>
      </c>
      <c r="AS25" s="53">
        <v>62.219000000000001</v>
      </c>
      <c r="AU25" s="38">
        <f t="shared" si="0"/>
        <v>2920</v>
      </c>
      <c r="AV25" s="53">
        <v>63.206000000000003</v>
      </c>
    </row>
    <row r="26" spans="1:48" x14ac:dyDescent="0.35">
      <c r="K26" s="53">
        <v>3004</v>
      </c>
      <c r="L26" s="53">
        <v>67.495000000000005</v>
      </c>
      <c r="N26" s="38">
        <f>N25+135</f>
        <v>3105</v>
      </c>
      <c r="O26" s="53">
        <v>67.674000000000007</v>
      </c>
      <c r="W26" s="53">
        <v>3252</v>
      </c>
      <c r="X26" s="53">
        <v>61.683999999999997</v>
      </c>
      <c r="AC26" s="53">
        <v>3102</v>
      </c>
      <c r="AD26" s="53">
        <v>63.210999999999999</v>
      </c>
      <c r="AF26" s="53">
        <v>3775</v>
      </c>
      <c r="AG26" s="53">
        <v>64.792000000000002</v>
      </c>
      <c r="AI26" s="53">
        <v>2953</v>
      </c>
      <c r="AJ26" s="53">
        <v>67.004000000000005</v>
      </c>
      <c r="AL26" s="53">
        <v>3130</v>
      </c>
      <c r="AM26" s="53">
        <v>59.524000000000001</v>
      </c>
      <c r="AO26" s="38">
        <v>2860</v>
      </c>
      <c r="AP26" s="38">
        <v>74.793999999999997</v>
      </c>
      <c r="AR26" s="38">
        <v>3085</v>
      </c>
      <c r="AS26" s="53">
        <v>62.265000000000001</v>
      </c>
      <c r="AU26" s="38">
        <f t="shared" si="0"/>
        <v>3003</v>
      </c>
      <c r="AV26" s="53">
        <v>62.854999999999997</v>
      </c>
    </row>
    <row r="27" spans="1:48" x14ac:dyDescent="0.35">
      <c r="K27" s="53">
        <v>3140</v>
      </c>
      <c r="L27" s="53">
        <v>65.460999999999999</v>
      </c>
      <c r="N27" s="38">
        <f>N26+194+178</f>
        <v>3477</v>
      </c>
      <c r="O27" s="53">
        <v>68.174999999999997</v>
      </c>
      <c r="V27" s="13" t="s">
        <v>234</v>
      </c>
      <c r="W27" s="15">
        <v>3355</v>
      </c>
      <c r="X27" s="15">
        <v>62.34</v>
      </c>
      <c r="AC27" s="53">
        <v>3224</v>
      </c>
      <c r="AD27" s="53">
        <v>63.905000000000001</v>
      </c>
      <c r="AE27" s="19" t="s">
        <v>234</v>
      </c>
      <c r="AF27" s="9">
        <v>3803</v>
      </c>
      <c r="AG27" s="9">
        <v>64.200999999999993</v>
      </c>
      <c r="AI27" s="53">
        <v>3341</v>
      </c>
      <c r="AJ27" s="53">
        <v>67.055999999999997</v>
      </c>
      <c r="AL27" s="53">
        <v>3222</v>
      </c>
      <c r="AM27" s="53">
        <v>63.857999999999997</v>
      </c>
      <c r="AO27" s="38">
        <v>3066</v>
      </c>
      <c r="AP27" s="38">
        <v>73.501999999999995</v>
      </c>
      <c r="AR27" s="38">
        <v>3292</v>
      </c>
      <c r="AS27" s="53">
        <v>62.747999999999998</v>
      </c>
      <c r="AU27" s="38">
        <f t="shared" si="0"/>
        <v>3086</v>
      </c>
      <c r="AV27" s="53">
        <v>63.597999999999999</v>
      </c>
    </row>
    <row r="28" spans="1:48" x14ac:dyDescent="0.35">
      <c r="K28" s="53">
        <v>3230</v>
      </c>
      <c r="L28" s="53">
        <v>64.885999999999996</v>
      </c>
      <c r="N28" s="38">
        <f>N27+205</f>
        <v>3682</v>
      </c>
      <c r="O28" s="53">
        <v>66.475999999999999</v>
      </c>
      <c r="AC28" s="53">
        <v>3309</v>
      </c>
      <c r="AD28" s="53">
        <v>64.218999999999994</v>
      </c>
      <c r="AI28" s="53">
        <v>3436</v>
      </c>
      <c r="AJ28" s="53">
        <v>68.816999999999993</v>
      </c>
      <c r="AL28" s="53">
        <v>3383</v>
      </c>
      <c r="AM28" s="53">
        <v>64.751000000000005</v>
      </c>
      <c r="AO28" s="38">
        <v>3217</v>
      </c>
      <c r="AP28" s="38">
        <v>73.186000000000007</v>
      </c>
      <c r="AR28" s="38">
        <v>3372</v>
      </c>
      <c r="AS28" s="53">
        <v>62.396000000000001</v>
      </c>
      <c r="AU28" s="38">
        <f t="shared" si="0"/>
        <v>3226</v>
      </c>
      <c r="AV28" s="53">
        <v>63.881</v>
      </c>
    </row>
    <row r="29" spans="1:48" x14ac:dyDescent="0.35">
      <c r="K29" s="53">
        <v>3356</v>
      </c>
      <c r="L29" s="53">
        <v>66.191999999999993</v>
      </c>
      <c r="N29" s="38">
        <f>N28+102</f>
        <v>3784</v>
      </c>
      <c r="O29" s="53">
        <v>65.497</v>
      </c>
      <c r="AC29" s="53">
        <v>3443</v>
      </c>
      <c r="AD29" s="53">
        <v>62.328000000000003</v>
      </c>
      <c r="AI29" s="53">
        <v>3641</v>
      </c>
      <c r="AJ29" s="53">
        <v>66.475999999999999</v>
      </c>
      <c r="AL29" s="53">
        <v>3685</v>
      </c>
      <c r="AM29" s="53">
        <v>63.719000000000001</v>
      </c>
      <c r="AO29" s="38">
        <v>3467</v>
      </c>
      <c r="AP29" s="38">
        <v>71.81</v>
      </c>
      <c r="AR29" s="38">
        <v>3506</v>
      </c>
      <c r="AS29" s="53">
        <v>61.926000000000002</v>
      </c>
      <c r="AU29" s="38">
        <f t="shared" si="0"/>
        <v>3386</v>
      </c>
      <c r="AV29" s="53">
        <v>64.781000000000006</v>
      </c>
    </row>
    <row r="30" spans="1:48" x14ac:dyDescent="0.35">
      <c r="K30" s="53">
        <v>3569</v>
      </c>
      <c r="L30" s="53">
        <v>64.665999999999997</v>
      </c>
      <c r="N30" s="38">
        <f>N29+200</f>
        <v>3984</v>
      </c>
      <c r="O30" s="53">
        <v>67.195999999999998</v>
      </c>
      <c r="AB30" s="13" t="s">
        <v>234</v>
      </c>
      <c r="AC30" s="40">
        <v>3617</v>
      </c>
      <c r="AD30" s="40">
        <v>62.34</v>
      </c>
      <c r="AI30" s="53">
        <v>3924</v>
      </c>
      <c r="AJ30" s="53">
        <v>66.739000000000004</v>
      </c>
      <c r="AL30" s="53">
        <v>3724</v>
      </c>
      <c r="AM30" s="53">
        <v>64.826999999999998</v>
      </c>
      <c r="AO30" s="38">
        <v>3576</v>
      </c>
      <c r="AP30" s="38">
        <v>72.572999999999993</v>
      </c>
      <c r="AQ30" s="19" t="s">
        <v>289</v>
      </c>
      <c r="AR30" s="9">
        <v>3640</v>
      </c>
      <c r="AS30" s="39">
        <v>59.194000000000003</v>
      </c>
      <c r="AU30" s="38">
        <f t="shared" si="0"/>
        <v>3523</v>
      </c>
      <c r="AV30" s="53">
        <v>63.698999999999998</v>
      </c>
    </row>
    <row r="31" spans="1:48" x14ac:dyDescent="0.35">
      <c r="K31" s="53">
        <v>3824</v>
      </c>
      <c r="L31" s="53">
        <v>65.42</v>
      </c>
      <c r="N31" s="38">
        <f>N30+140</f>
        <v>4124</v>
      </c>
      <c r="O31" s="53">
        <v>65.433000000000007</v>
      </c>
      <c r="AI31" s="53">
        <v>4040</v>
      </c>
      <c r="AJ31" s="53">
        <v>66.215000000000003</v>
      </c>
      <c r="AL31" s="53">
        <v>3779</v>
      </c>
      <c r="AM31" s="53">
        <v>65.77</v>
      </c>
      <c r="AO31" s="38">
        <v>3683</v>
      </c>
      <c r="AP31" s="38">
        <v>72.253</v>
      </c>
      <c r="AR31" s="38">
        <v>3855</v>
      </c>
      <c r="AS31" s="53">
        <v>62.470999999999997</v>
      </c>
      <c r="AU31" s="38">
        <f t="shared" si="0"/>
        <v>3670</v>
      </c>
      <c r="AV31" s="53">
        <v>62.856999999999999</v>
      </c>
    </row>
    <row r="32" spans="1:48" x14ac:dyDescent="0.35">
      <c r="J32" s="13" t="s">
        <v>234</v>
      </c>
      <c r="K32" s="40">
        <v>4129</v>
      </c>
      <c r="L32" s="40">
        <v>64.200999999999993</v>
      </c>
      <c r="N32" s="38">
        <f>N31+92</f>
        <v>4216</v>
      </c>
      <c r="O32" s="53">
        <v>65.043999999999997</v>
      </c>
      <c r="AI32" s="53">
        <v>4394</v>
      </c>
      <c r="AJ32" s="53">
        <v>65.180999999999997</v>
      </c>
      <c r="AL32" s="53">
        <v>4028</v>
      </c>
      <c r="AM32" s="53">
        <v>67.111999999999995</v>
      </c>
      <c r="AO32" s="38">
        <v>3788</v>
      </c>
      <c r="AP32" s="38">
        <v>71.013999999999996</v>
      </c>
      <c r="AR32" s="38">
        <v>4004</v>
      </c>
      <c r="AS32" s="53">
        <v>61.491999999999997</v>
      </c>
      <c r="AU32" s="38">
        <f t="shared" si="0"/>
        <v>3908</v>
      </c>
      <c r="AV32" s="53">
        <v>63.23</v>
      </c>
    </row>
    <row r="33" spans="13:48" x14ac:dyDescent="0.35">
      <c r="N33" s="38">
        <v>4583</v>
      </c>
      <c r="O33" s="53">
        <v>64.971999999999994</v>
      </c>
      <c r="AI33" s="53">
        <v>4626</v>
      </c>
      <c r="AJ33" s="53">
        <v>64.837000000000003</v>
      </c>
      <c r="AL33" s="53">
        <v>4160</v>
      </c>
      <c r="AM33" s="53">
        <v>68.108999999999995</v>
      </c>
      <c r="AN33" s="13" t="s">
        <v>291</v>
      </c>
      <c r="AO33" s="15">
        <v>3993</v>
      </c>
      <c r="AP33" s="15">
        <v>70.138000000000005</v>
      </c>
      <c r="AR33" s="38">
        <v>4100</v>
      </c>
      <c r="AS33" s="53">
        <v>60.927999999999997</v>
      </c>
      <c r="AU33" s="38">
        <f t="shared" si="0"/>
        <v>3992</v>
      </c>
      <c r="AV33" s="53">
        <v>61.499000000000002</v>
      </c>
    </row>
    <row r="34" spans="13:48" x14ac:dyDescent="0.35">
      <c r="N34" s="38">
        <v>4741</v>
      </c>
      <c r="O34" s="53">
        <v>63.62</v>
      </c>
      <c r="AH34" s="13" t="s">
        <v>234</v>
      </c>
      <c r="AI34" s="15">
        <v>4652</v>
      </c>
      <c r="AJ34" s="15">
        <v>64.200999999999993</v>
      </c>
      <c r="AL34" s="53">
        <v>4248</v>
      </c>
      <c r="AM34" s="53">
        <v>67.2</v>
      </c>
      <c r="AO34" s="38">
        <v>4149</v>
      </c>
      <c r="AP34" s="38">
        <v>70.138000000000005</v>
      </c>
      <c r="AR34" s="38">
        <v>4246</v>
      </c>
      <c r="AS34" s="53">
        <v>60.933</v>
      </c>
      <c r="AT34" s="13" t="s">
        <v>124</v>
      </c>
      <c r="AU34" s="15">
        <f t="shared" si="0"/>
        <v>4139</v>
      </c>
      <c r="AV34" s="15">
        <v>59.194000000000003</v>
      </c>
    </row>
    <row r="35" spans="13:48" x14ac:dyDescent="0.35">
      <c r="M35" s="19" t="s">
        <v>234</v>
      </c>
      <c r="N35" s="9">
        <v>4860</v>
      </c>
      <c r="O35" s="9">
        <v>64.200999999999993</v>
      </c>
      <c r="AL35" s="53">
        <v>4335</v>
      </c>
      <c r="AM35" s="53">
        <v>67.287999999999997</v>
      </c>
      <c r="AO35" s="38">
        <v>4280</v>
      </c>
      <c r="AP35" s="38">
        <v>70.900999999999996</v>
      </c>
      <c r="AQ35" s="19" t="s">
        <v>234</v>
      </c>
      <c r="AR35" s="9">
        <v>4387</v>
      </c>
      <c r="AS35" s="39">
        <v>62.375999999999998</v>
      </c>
      <c r="AU35" s="38">
        <f t="shared" si="0"/>
        <v>4489</v>
      </c>
      <c r="AV35" s="38">
        <v>61.180999999999997</v>
      </c>
    </row>
    <row r="36" spans="13:48" x14ac:dyDescent="0.35">
      <c r="AL36" s="53">
        <v>4576</v>
      </c>
      <c r="AM36" s="53">
        <v>68.146000000000001</v>
      </c>
      <c r="AO36" s="38">
        <v>4373</v>
      </c>
      <c r="AP36" s="38">
        <v>71.174000000000007</v>
      </c>
      <c r="AR36" s="63"/>
      <c r="AU36" s="38">
        <f t="shared" si="0"/>
        <v>4624</v>
      </c>
      <c r="AV36" s="38">
        <v>62.665999999999997</v>
      </c>
    </row>
    <row r="37" spans="13:48" x14ac:dyDescent="0.35">
      <c r="AL37" s="53">
        <v>4755</v>
      </c>
      <c r="AM37" s="53">
        <v>67.488</v>
      </c>
      <c r="AO37" s="38">
        <v>4518</v>
      </c>
      <c r="AP37" s="38">
        <v>70.41</v>
      </c>
      <c r="AU37" s="38">
        <f t="shared" si="0"/>
        <v>4713</v>
      </c>
      <c r="AV37" s="38">
        <v>61.046999999999997</v>
      </c>
    </row>
    <row r="38" spans="13:48" x14ac:dyDescent="0.35">
      <c r="AL38" s="53">
        <v>4952</v>
      </c>
      <c r="AM38" s="53">
        <v>66.375</v>
      </c>
      <c r="AO38" s="38">
        <v>4636</v>
      </c>
      <c r="AP38" s="38">
        <v>70.501000000000005</v>
      </c>
      <c r="AU38" s="38">
        <f t="shared" si="0"/>
        <v>4852</v>
      </c>
      <c r="AV38" s="38">
        <v>61.683999999999997</v>
      </c>
    </row>
    <row r="39" spans="13:48" x14ac:dyDescent="0.35">
      <c r="AL39" s="53">
        <v>5097</v>
      </c>
      <c r="AM39" s="53">
        <v>65.132000000000005</v>
      </c>
      <c r="AO39" s="38">
        <v>4763</v>
      </c>
      <c r="AP39" s="38">
        <v>70.141999999999996</v>
      </c>
      <c r="AT39" s="13" t="s">
        <v>234</v>
      </c>
      <c r="AU39" s="40">
        <f t="shared" si="0"/>
        <v>4955</v>
      </c>
      <c r="AV39" s="40">
        <v>62.34</v>
      </c>
    </row>
    <row r="40" spans="13:48" x14ac:dyDescent="0.35">
      <c r="AL40" s="53">
        <v>5180</v>
      </c>
      <c r="AM40" s="53">
        <v>64.602000000000004</v>
      </c>
      <c r="AO40" s="38">
        <v>4890</v>
      </c>
      <c r="AP40" s="38">
        <v>71.150000000000006</v>
      </c>
      <c r="AU40" s="63"/>
    </row>
    <row r="41" spans="13:48" x14ac:dyDescent="0.35">
      <c r="AL41" s="53">
        <v>5287</v>
      </c>
      <c r="AM41" s="53">
        <v>64.328000000000003</v>
      </c>
      <c r="AO41" s="38">
        <v>5014</v>
      </c>
      <c r="AP41" s="38">
        <v>69.17</v>
      </c>
      <c r="AU41" s="63"/>
    </row>
    <row r="42" spans="13:48" x14ac:dyDescent="0.35">
      <c r="AL42" s="53">
        <v>5420</v>
      </c>
      <c r="AM42" s="53">
        <v>63.098999999999997</v>
      </c>
      <c r="AO42" s="38">
        <v>5137</v>
      </c>
      <c r="AP42" s="38">
        <v>69.271000000000001</v>
      </c>
      <c r="AU42" s="63"/>
    </row>
    <row r="43" spans="13:48" x14ac:dyDescent="0.35">
      <c r="AK43" s="19" t="s">
        <v>234</v>
      </c>
      <c r="AL43" s="39">
        <v>5781</v>
      </c>
      <c r="AM43" s="39">
        <v>64.373999999999995</v>
      </c>
      <c r="AO43" s="38">
        <v>5258</v>
      </c>
      <c r="AP43" s="38">
        <v>68.968999999999994</v>
      </c>
      <c r="AU43" s="63"/>
    </row>
    <row r="44" spans="13:48" x14ac:dyDescent="0.35">
      <c r="AO44" s="38">
        <v>5375</v>
      </c>
      <c r="AP44" s="38">
        <v>68.483999999999995</v>
      </c>
      <c r="AU44" s="63"/>
    </row>
    <row r="45" spans="13:48" x14ac:dyDescent="0.35">
      <c r="AO45" s="38">
        <v>5501</v>
      </c>
      <c r="AP45" s="38">
        <v>67.507999999999996</v>
      </c>
      <c r="AU45" s="63"/>
    </row>
    <row r="46" spans="13:48" x14ac:dyDescent="0.35">
      <c r="AO46" s="38">
        <v>5642</v>
      </c>
      <c r="AP46" s="38">
        <v>65.915000000000006</v>
      </c>
      <c r="AU46" s="63"/>
    </row>
    <row r="47" spans="13:48" x14ac:dyDescent="0.35">
      <c r="AO47" s="38">
        <v>5765</v>
      </c>
      <c r="AP47" s="38">
        <v>66.602999999999994</v>
      </c>
    </row>
    <row r="48" spans="13:48" x14ac:dyDescent="0.35">
      <c r="AO48" s="38">
        <v>5882</v>
      </c>
      <c r="AP48" s="38">
        <v>67.085999999999999</v>
      </c>
    </row>
    <row r="49" spans="40:42" x14ac:dyDescent="0.35">
      <c r="AO49" s="38">
        <v>6170</v>
      </c>
      <c r="AP49" s="38">
        <v>66.221000000000004</v>
      </c>
    </row>
    <row r="50" spans="40:42" x14ac:dyDescent="0.35">
      <c r="AO50" s="38">
        <v>6306</v>
      </c>
      <c r="AP50" s="38">
        <v>65.856999999999999</v>
      </c>
    </row>
    <row r="51" spans="40:42" x14ac:dyDescent="0.35">
      <c r="AO51" s="38">
        <v>6434</v>
      </c>
      <c r="AP51" s="38">
        <v>66.448999999999998</v>
      </c>
    </row>
    <row r="52" spans="40:42" x14ac:dyDescent="0.35">
      <c r="AO52" s="38">
        <v>6557</v>
      </c>
      <c r="AP52" s="38">
        <v>66.322000000000003</v>
      </c>
    </row>
    <row r="53" spans="40:42" x14ac:dyDescent="0.35">
      <c r="AO53" s="38">
        <v>6678</v>
      </c>
      <c r="AP53" s="38">
        <v>66.652000000000001</v>
      </c>
    </row>
    <row r="54" spans="40:42" x14ac:dyDescent="0.35">
      <c r="AO54" s="38">
        <v>6813</v>
      </c>
      <c r="AP54" s="38">
        <v>67.674000000000007</v>
      </c>
    </row>
    <row r="55" spans="40:42" x14ac:dyDescent="0.35">
      <c r="AO55" s="38">
        <v>7185</v>
      </c>
      <c r="AP55" s="38">
        <v>68.174999999999997</v>
      </c>
    </row>
    <row r="56" spans="40:42" x14ac:dyDescent="0.35">
      <c r="AO56" s="38">
        <v>7390</v>
      </c>
      <c r="AP56" s="38">
        <v>66.475999999999999</v>
      </c>
    </row>
    <row r="57" spans="40:42" x14ac:dyDescent="0.35">
      <c r="AO57" s="38">
        <v>7492</v>
      </c>
      <c r="AP57" s="38">
        <v>65.497</v>
      </c>
    </row>
    <row r="58" spans="40:42" x14ac:dyDescent="0.35">
      <c r="AO58" s="38">
        <v>7692</v>
      </c>
      <c r="AP58" s="38">
        <v>67.195999999999998</v>
      </c>
    </row>
    <row r="59" spans="40:42" x14ac:dyDescent="0.35">
      <c r="AO59" s="38">
        <v>7832</v>
      </c>
      <c r="AP59" s="38">
        <v>65.433000000000007</v>
      </c>
    </row>
    <row r="60" spans="40:42" x14ac:dyDescent="0.35">
      <c r="AO60" s="38">
        <v>7924</v>
      </c>
      <c r="AP60" s="38">
        <v>65.043999999999997</v>
      </c>
    </row>
    <row r="61" spans="40:42" x14ac:dyDescent="0.35">
      <c r="AO61" s="38">
        <v>8291</v>
      </c>
      <c r="AP61" s="38">
        <v>64.971999999999994</v>
      </c>
    </row>
    <row r="62" spans="40:42" x14ac:dyDescent="0.35">
      <c r="AO62" s="38">
        <v>8449</v>
      </c>
      <c r="AP62" s="38">
        <v>63.62</v>
      </c>
    </row>
    <row r="63" spans="40:42" x14ac:dyDescent="0.35">
      <c r="AN63" s="13" t="s">
        <v>234</v>
      </c>
      <c r="AO63" s="15">
        <v>8568</v>
      </c>
      <c r="AP63" s="15">
        <v>64.200999999999993</v>
      </c>
    </row>
    <row r="64" spans="40:42" x14ac:dyDescent="0.35">
      <c r="AO64" s="63"/>
    </row>
    <row r="65" spans="41:41" x14ac:dyDescent="0.35">
      <c r="AO65" s="63"/>
    </row>
    <row r="66" spans="41:41" x14ac:dyDescent="0.35">
      <c r="AO66" s="63"/>
    </row>
    <row r="67" spans="41:41" x14ac:dyDescent="0.35">
      <c r="AO67" s="63"/>
    </row>
    <row r="68" spans="41:41" x14ac:dyDescent="0.35">
      <c r="AO68" s="63"/>
    </row>
    <row r="69" spans="41:41" x14ac:dyDescent="0.35">
      <c r="AO69" s="63"/>
    </row>
    <row r="70" spans="41:41" x14ac:dyDescent="0.35">
      <c r="AO70" s="63"/>
    </row>
    <row r="71" spans="41:41" x14ac:dyDescent="0.35">
      <c r="AO71" s="63"/>
    </row>
    <row r="72" spans="41:41" x14ac:dyDescent="0.35">
      <c r="AO72" s="63"/>
    </row>
    <row r="73" spans="41:41" x14ac:dyDescent="0.35">
      <c r="AO73" s="63"/>
    </row>
    <row r="74" spans="41:41" x14ac:dyDescent="0.35">
      <c r="AO74" s="63"/>
    </row>
    <row r="75" spans="41:41" x14ac:dyDescent="0.35">
      <c r="AO75" s="63"/>
    </row>
    <row r="76" spans="41:41" x14ac:dyDescent="0.35">
      <c r="AO76" s="63"/>
    </row>
    <row r="77" spans="41:41" x14ac:dyDescent="0.35">
      <c r="AO77" s="63"/>
    </row>
    <row r="78" spans="41:41" x14ac:dyDescent="0.35">
      <c r="AO78" s="63"/>
    </row>
    <row r="79" spans="41:41" x14ac:dyDescent="0.35">
      <c r="AO79" s="63"/>
    </row>
    <row r="80" spans="41:41" x14ac:dyDescent="0.35">
      <c r="AO80" s="63"/>
    </row>
    <row r="81" spans="41:41" x14ac:dyDescent="0.35">
      <c r="AO81" s="63"/>
    </row>
    <row r="82" spans="41:41" x14ac:dyDescent="0.35">
      <c r="AO82" s="63"/>
    </row>
    <row r="83" spans="41:41" x14ac:dyDescent="0.35">
      <c r="AO83" s="63"/>
    </row>
    <row r="84" spans="41:41" x14ac:dyDescent="0.35">
      <c r="AO84" s="63"/>
    </row>
    <row r="85" spans="41:41" x14ac:dyDescent="0.35">
      <c r="AO85" s="63"/>
    </row>
    <row r="86" spans="41:41" x14ac:dyDescent="0.35">
      <c r="AO86" s="63"/>
    </row>
    <row r="87" spans="41:41" x14ac:dyDescent="0.35">
      <c r="AO87" s="63"/>
    </row>
    <row r="88" spans="41:41" x14ac:dyDescent="0.35">
      <c r="AO88" s="63"/>
    </row>
    <row r="89" spans="41:41" x14ac:dyDescent="0.35">
      <c r="AO89" s="63"/>
    </row>
    <row r="90" spans="41:41" x14ac:dyDescent="0.35">
      <c r="AO90" s="63"/>
    </row>
    <row r="91" spans="41:41" x14ac:dyDescent="0.35">
      <c r="AO91" s="63"/>
    </row>
    <row r="92" spans="41:41" x14ac:dyDescent="0.35">
      <c r="AO92" s="63"/>
    </row>
    <row r="93" spans="41:41" x14ac:dyDescent="0.35">
      <c r="AO93" s="63"/>
    </row>
    <row r="94" spans="41:41" x14ac:dyDescent="0.35">
      <c r="AO94" s="63"/>
    </row>
    <row r="95" spans="41:41" x14ac:dyDescent="0.35">
      <c r="AO95" s="63"/>
    </row>
    <row r="96" spans="41:41" x14ac:dyDescent="0.35">
      <c r="AO96" s="63"/>
    </row>
    <row r="97" spans="41:41" x14ac:dyDescent="0.35">
      <c r="AO97" s="63"/>
    </row>
    <row r="98" spans="41:41" x14ac:dyDescent="0.35">
      <c r="AO98" s="63"/>
    </row>
    <row r="99" spans="41:41" x14ac:dyDescent="0.35">
      <c r="AO99" s="63"/>
    </row>
    <row r="100" spans="41:41" x14ac:dyDescent="0.35">
      <c r="AO100" s="63"/>
    </row>
    <row r="101" spans="41:41" x14ac:dyDescent="0.35">
      <c r="AO101" s="63"/>
    </row>
    <row r="102" spans="41:41" x14ac:dyDescent="0.35">
      <c r="AO102" s="63"/>
    </row>
    <row r="103" spans="41:41" x14ac:dyDescent="0.35">
      <c r="AO103" s="63"/>
    </row>
    <row r="104" spans="41:41" x14ac:dyDescent="0.35">
      <c r="AO104" s="63"/>
    </row>
    <row r="105" spans="41:41" x14ac:dyDescent="0.35">
      <c r="AO105" s="63"/>
    </row>
    <row r="106" spans="41:41" x14ac:dyDescent="0.35">
      <c r="AO106" s="63"/>
    </row>
    <row r="107" spans="41:41" x14ac:dyDescent="0.35">
      <c r="AO107" s="63"/>
    </row>
    <row r="108" spans="41:41" x14ac:dyDescent="0.35">
      <c r="AO108" s="63"/>
    </row>
    <row r="109" spans="41:41" x14ac:dyDescent="0.35">
      <c r="AO109" s="63"/>
    </row>
    <row r="110" spans="41:41" x14ac:dyDescent="0.35">
      <c r="AO110" s="63"/>
    </row>
    <row r="111" spans="41:41" x14ac:dyDescent="0.35">
      <c r="AO111" s="63"/>
    </row>
    <row r="112" spans="41:41" x14ac:dyDescent="0.35">
      <c r="AO112" s="63"/>
    </row>
    <row r="113" spans="41:41" x14ac:dyDescent="0.35">
      <c r="AO113" s="63"/>
    </row>
    <row r="114" spans="41:41" x14ac:dyDescent="0.35">
      <c r="AO114" s="63"/>
    </row>
    <row r="115" spans="41:41" x14ac:dyDescent="0.35">
      <c r="AO115" s="63"/>
    </row>
    <row r="116" spans="41:41" x14ac:dyDescent="0.35">
      <c r="AO116" s="63"/>
    </row>
    <row r="117" spans="41:41" x14ac:dyDescent="0.35">
      <c r="AO117" s="63"/>
    </row>
    <row r="118" spans="41:41" x14ac:dyDescent="0.35">
      <c r="AO118" s="63"/>
    </row>
    <row r="119" spans="41:41" x14ac:dyDescent="0.35">
      <c r="AO119" s="63"/>
    </row>
    <row r="120" spans="41:41" x14ac:dyDescent="0.35">
      <c r="AO120" s="63"/>
    </row>
    <row r="121" spans="41:41" x14ac:dyDescent="0.35">
      <c r="AO121" s="63"/>
    </row>
    <row r="122" spans="41:41" x14ac:dyDescent="0.35">
      <c r="AO122" s="63"/>
    </row>
    <row r="123" spans="41:41" x14ac:dyDescent="0.35">
      <c r="AO123" s="63"/>
    </row>
    <row r="124" spans="41:41" x14ac:dyDescent="0.35">
      <c r="AO124" s="63"/>
    </row>
    <row r="125" spans="41:41" x14ac:dyDescent="0.35">
      <c r="AO125" s="63"/>
    </row>
    <row r="126" spans="41:41" x14ac:dyDescent="0.35">
      <c r="AO126" s="63"/>
    </row>
    <row r="127" spans="41:41" x14ac:dyDescent="0.35">
      <c r="AO127" s="63"/>
    </row>
    <row r="128" spans="41:41" x14ac:dyDescent="0.35">
      <c r="AO128" s="63"/>
    </row>
    <row r="129" spans="41:41" x14ac:dyDescent="0.35">
      <c r="AO129" s="63"/>
    </row>
    <row r="130" spans="41:41" x14ac:dyDescent="0.35">
      <c r="AO130" s="63"/>
    </row>
    <row r="131" spans="41:41" x14ac:dyDescent="0.35">
      <c r="AO131" s="63"/>
    </row>
    <row r="132" spans="41:41" x14ac:dyDescent="0.35">
      <c r="AO132" s="63"/>
    </row>
    <row r="133" spans="41:41" x14ac:dyDescent="0.35">
      <c r="AO133" s="63"/>
    </row>
    <row r="134" spans="41:41" x14ac:dyDescent="0.35">
      <c r="AO134" s="63"/>
    </row>
    <row r="135" spans="41:41" x14ac:dyDescent="0.35">
      <c r="AO135" s="63"/>
    </row>
    <row r="136" spans="41:41" x14ac:dyDescent="0.35">
      <c r="AO136" s="63"/>
    </row>
    <row r="137" spans="41:41" x14ac:dyDescent="0.35">
      <c r="AO137" s="63"/>
    </row>
    <row r="138" spans="41:41" x14ac:dyDescent="0.35">
      <c r="AO138" s="63"/>
    </row>
    <row r="139" spans="41:41" x14ac:dyDescent="0.35">
      <c r="AO139" s="63"/>
    </row>
    <row r="140" spans="41:41" x14ac:dyDescent="0.35">
      <c r="AO140" s="63"/>
    </row>
    <row r="141" spans="41:41" x14ac:dyDescent="0.35">
      <c r="AO141" s="63"/>
    </row>
    <row r="142" spans="41:41" x14ac:dyDescent="0.35">
      <c r="AO142" s="63"/>
    </row>
    <row r="143" spans="41:41" x14ac:dyDescent="0.35">
      <c r="AO143" s="63"/>
    </row>
    <row r="144" spans="41:41" x14ac:dyDescent="0.35">
      <c r="AO144" s="63"/>
    </row>
    <row r="145" spans="41:41" x14ac:dyDescent="0.35">
      <c r="AO145" s="63"/>
    </row>
    <row r="146" spans="41:41" x14ac:dyDescent="0.35">
      <c r="AO146" s="63"/>
    </row>
    <row r="147" spans="41:41" x14ac:dyDescent="0.35">
      <c r="AO147" s="63"/>
    </row>
    <row r="148" spans="41:41" x14ac:dyDescent="0.35">
      <c r="AO148" s="63"/>
    </row>
    <row r="149" spans="41:41" x14ac:dyDescent="0.35">
      <c r="AO149" s="63"/>
    </row>
    <row r="150" spans="41:41" x14ac:dyDescent="0.35">
      <c r="AO150" s="63"/>
    </row>
    <row r="151" spans="41:41" x14ac:dyDescent="0.35">
      <c r="AO151" s="63"/>
    </row>
    <row r="152" spans="41:41" x14ac:dyDescent="0.35">
      <c r="AO152" s="63"/>
    </row>
    <row r="153" spans="41:41" x14ac:dyDescent="0.35">
      <c r="AO153" s="63"/>
    </row>
    <row r="154" spans="41:41" x14ac:dyDescent="0.35">
      <c r="AO154" s="63"/>
    </row>
    <row r="155" spans="41:41" x14ac:dyDescent="0.35">
      <c r="AO155" s="63"/>
    </row>
    <row r="156" spans="41:41" x14ac:dyDescent="0.35">
      <c r="AO156" s="63"/>
    </row>
    <row r="157" spans="41:41" x14ac:dyDescent="0.35">
      <c r="AO157" s="63"/>
    </row>
    <row r="158" spans="41:41" x14ac:dyDescent="0.35">
      <c r="AO158" s="63"/>
    </row>
    <row r="159" spans="41:41" x14ac:dyDescent="0.35">
      <c r="AO159" s="63"/>
    </row>
    <row r="160" spans="41:41" x14ac:dyDescent="0.35">
      <c r="AO160" s="63"/>
    </row>
    <row r="161" spans="41:41" x14ac:dyDescent="0.35">
      <c r="AO161" s="63"/>
    </row>
    <row r="162" spans="41:41" x14ac:dyDescent="0.35">
      <c r="AO162" s="63"/>
    </row>
    <row r="163" spans="41:41" x14ac:dyDescent="0.35">
      <c r="AO163" s="63"/>
    </row>
    <row r="164" spans="41:41" x14ac:dyDescent="0.35">
      <c r="AO164" s="63"/>
    </row>
    <row r="165" spans="41:41" x14ac:dyDescent="0.35">
      <c r="AO165" s="63"/>
    </row>
    <row r="166" spans="41:41" x14ac:dyDescent="0.35">
      <c r="AO166" s="63"/>
    </row>
    <row r="167" spans="41:41" x14ac:dyDescent="0.35">
      <c r="AO167" s="63"/>
    </row>
    <row r="168" spans="41:41" x14ac:dyDescent="0.35">
      <c r="AO168" s="63"/>
    </row>
    <row r="169" spans="41:41" x14ac:dyDescent="0.35">
      <c r="AO169" s="63"/>
    </row>
    <row r="170" spans="41:41" x14ac:dyDescent="0.35">
      <c r="AO170" s="63"/>
    </row>
    <row r="171" spans="41:41" x14ac:dyDescent="0.35">
      <c r="AO171" s="63"/>
    </row>
    <row r="172" spans="41:41" x14ac:dyDescent="0.35">
      <c r="AO172" s="63"/>
    </row>
    <row r="173" spans="41:41" x14ac:dyDescent="0.35">
      <c r="AO173" s="63"/>
    </row>
    <row r="174" spans="41:41" x14ac:dyDescent="0.35">
      <c r="AO174" s="63"/>
    </row>
    <row r="175" spans="41:41" x14ac:dyDescent="0.35">
      <c r="AO175" s="63"/>
    </row>
    <row r="176" spans="41:41" x14ac:dyDescent="0.35">
      <c r="AO176" s="63"/>
    </row>
    <row r="177" spans="41:41" x14ac:dyDescent="0.35">
      <c r="AO177" s="63"/>
    </row>
    <row r="178" spans="41:41" x14ac:dyDescent="0.35">
      <c r="AO178" s="63"/>
    </row>
    <row r="179" spans="41:41" x14ac:dyDescent="0.35">
      <c r="AO179" s="63"/>
    </row>
    <row r="180" spans="41:41" x14ac:dyDescent="0.35">
      <c r="AO180" s="63"/>
    </row>
    <row r="181" spans="41:41" x14ac:dyDescent="0.35">
      <c r="AO181" s="63"/>
    </row>
    <row r="182" spans="41:41" x14ac:dyDescent="0.35">
      <c r="AO182" s="63"/>
    </row>
    <row r="183" spans="41:41" x14ac:dyDescent="0.35">
      <c r="AO183" s="63"/>
    </row>
    <row r="184" spans="41:41" x14ac:dyDescent="0.35">
      <c r="AO184" s="63"/>
    </row>
    <row r="185" spans="41:41" x14ac:dyDescent="0.35">
      <c r="AO185" s="63"/>
    </row>
    <row r="186" spans="41:41" x14ac:dyDescent="0.35">
      <c r="AO186" s="63"/>
    </row>
    <row r="187" spans="41:41" x14ac:dyDescent="0.35">
      <c r="AO187" s="63"/>
    </row>
    <row r="188" spans="41:41" x14ac:dyDescent="0.35">
      <c r="AO188" s="63"/>
    </row>
    <row r="189" spans="41:41" x14ac:dyDescent="0.35">
      <c r="AO189" s="63"/>
    </row>
    <row r="190" spans="41:41" x14ac:dyDescent="0.35">
      <c r="AO190" s="63"/>
    </row>
    <row r="191" spans="41:41" x14ac:dyDescent="0.35">
      <c r="AO191" s="63"/>
    </row>
    <row r="192" spans="41:41" x14ac:dyDescent="0.35">
      <c r="AO192" s="63"/>
    </row>
    <row r="193" spans="41:41" x14ac:dyDescent="0.35">
      <c r="AO193" s="63"/>
    </row>
    <row r="194" spans="41:41" x14ac:dyDescent="0.35">
      <c r="AO194" s="63"/>
    </row>
    <row r="195" spans="41:41" x14ac:dyDescent="0.35">
      <c r="AO195" s="63"/>
    </row>
  </sheetData>
  <mergeCells count="16">
    <mergeCell ref="Q1:R1"/>
    <mergeCell ref="B1:C1"/>
    <mergeCell ref="E1:F1"/>
    <mergeCell ref="H1:I1"/>
    <mergeCell ref="K1:L1"/>
    <mergeCell ref="N1:O1"/>
    <mergeCell ref="AL1:AM1"/>
    <mergeCell ref="AO1:AP1"/>
    <mergeCell ref="AR1:AS1"/>
    <mergeCell ref="AU1:AV1"/>
    <mergeCell ref="T1:U1"/>
    <mergeCell ref="W1:X1"/>
    <mergeCell ref="Z1:AA1"/>
    <mergeCell ref="AC1:AD1"/>
    <mergeCell ref="AF1:AG1"/>
    <mergeCell ref="AI1:A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6"/>
  <dimension ref="A1:BE88"/>
  <sheetViews>
    <sheetView workbookViewId="0">
      <pane ySplit="2" topLeftCell="A3" activePane="bottomLeft" state="frozen"/>
      <selection pane="bottomLeft" activeCell="AR24" sqref="AR24"/>
    </sheetView>
  </sheetViews>
  <sheetFormatPr defaultRowHeight="14.5" x14ac:dyDescent="0.35"/>
  <sheetData>
    <row r="1" spans="2:57" x14ac:dyDescent="0.35">
      <c r="B1" s="99" t="s">
        <v>216</v>
      </c>
      <c r="C1" s="100"/>
      <c r="E1" s="99" t="s">
        <v>217</v>
      </c>
      <c r="F1" s="100"/>
      <c r="H1" s="99" t="s">
        <v>218</v>
      </c>
      <c r="I1" s="100"/>
      <c r="K1" s="99" t="s">
        <v>219</v>
      </c>
      <c r="L1" s="100"/>
      <c r="N1" s="99" t="s">
        <v>220</v>
      </c>
      <c r="O1" s="100"/>
      <c r="Q1" s="96" t="s">
        <v>221</v>
      </c>
      <c r="R1" s="97"/>
      <c r="S1" s="28"/>
      <c r="T1" s="96" t="s">
        <v>222</v>
      </c>
      <c r="U1" s="97"/>
      <c r="V1" s="28"/>
      <c r="W1" s="96" t="s">
        <v>223</v>
      </c>
      <c r="X1" s="97"/>
      <c r="Y1" s="28"/>
      <c r="Z1" s="96" t="s">
        <v>224</v>
      </c>
      <c r="AA1" s="97"/>
      <c r="AB1" s="28"/>
      <c r="AC1" s="96" t="s">
        <v>225</v>
      </c>
      <c r="AD1" s="97"/>
      <c r="AE1" s="28"/>
      <c r="AF1" s="96" t="s">
        <v>226</v>
      </c>
      <c r="AG1" s="97"/>
      <c r="AH1" s="28"/>
      <c r="AI1" s="96" t="s">
        <v>227</v>
      </c>
      <c r="AJ1" s="97"/>
      <c r="AK1" s="28"/>
      <c r="AL1" s="96" t="s">
        <v>228</v>
      </c>
      <c r="AM1" s="97"/>
      <c r="AN1" s="28"/>
      <c r="AO1" s="96" t="s">
        <v>229</v>
      </c>
      <c r="AP1" s="97"/>
      <c r="AQ1" s="28"/>
      <c r="AR1" s="96" t="s">
        <v>230</v>
      </c>
      <c r="AS1" s="97"/>
      <c r="AT1" s="28"/>
      <c r="AU1" s="96" t="s">
        <v>231</v>
      </c>
      <c r="AV1" s="97"/>
      <c r="AW1" s="28"/>
      <c r="AX1" s="96" t="s">
        <v>232</v>
      </c>
      <c r="AY1" s="97"/>
      <c r="AZ1" s="28"/>
      <c r="BA1" s="96" t="s">
        <v>233</v>
      </c>
      <c r="BB1" s="97"/>
      <c r="BC1" s="28"/>
      <c r="BD1" s="101"/>
      <c r="BE1" s="101"/>
    </row>
    <row r="2" spans="2:57" x14ac:dyDescent="0.35">
      <c r="B2" s="1" t="s">
        <v>32</v>
      </c>
      <c r="C2" s="1" t="s">
        <v>33</v>
      </c>
      <c r="E2" s="1" t="s">
        <v>32</v>
      </c>
      <c r="F2" s="1" t="s">
        <v>33</v>
      </c>
      <c r="H2" s="1" t="s">
        <v>32</v>
      </c>
      <c r="I2" s="1" t="s">
        <v>33</v>
      </c>
      <c r="K2" s="1" t="s">
        <v>32</v>
      </c>
      <c r="L2" s="1" t="s">
        <v>33</v>
      </c>
      <c r="N2" s="1" t="s">
        <v>32</v>
      </c>
      <c r="O2" s="1" t="s">
        <v>33</v>
      </c>
      <c r="Q2" s="1" t="s">
        <v>32</v>
      </c>
      <c r="R2" s="1" t="s">
        <v>33</v>
      </c>
      <c r="S2" s="28"/>
      <c r="T2" s="1" t="s">
        <v>32</v>
      </c>
      <c r="U2" s="1" t="s">
        <v>33</v>
      </c>
      <c r="V2" s="28"/>
      <c r="W2" s="1" t="s">
        <v>32</v>
      </c>
      <c r="X2" s="1" t="s">
        <v>33</v>
      </c>
      <c r="Y2" s="28"/>
      <c r="Z2" s="1" t="s">
        <v>32</v>
      </c>
      <c r="AA2" s="1" t="s">
        <v>33</v>
      </c>
      <c r="AB2" s="28"/>
      <c r="AC2" s="1" t="s">
        <v>32</v>
      </c>
      <c r="AD2" s="1" t="s">
        <v>33</v>
      </c>
      <c r="AE2" s="28"/>
      <c r="AF2" s="1" t="s">
        <v>32</v>
      </c>
      <c r="AG2" s="1" t="s">
        <v>33</v>
      </c>
      <c r="AH2" s="28"/>
      <c r="AI2" s="1" t="s">
        <v>32</v>
      </c>
      <c r="AJ2" s="1" t="s">
        <v>33</v>
      </c>
      <c r="AK2" s="28"/>
      <c r="AL2" s="1" t="s">
        <v>32</v>
      </c>
      <c r="AM2" s="1" t="s">
        <v>33</v>
      </c>
      <c r="AN2" s="28"/>
      <c r="AO2" s="1" t="s">
        <v>32</v>
      </c>
      <c r="AP2" s="1" t="s">
        <v>33</v>
      </c>
      <c r="AQ2" s="28"/>
      <c r="AR2" s="1" t="s">
        <v>32</v>
      </c>
      <c r="AS2" s="1" t="s">
        <v>33</v>
      </c>
      <c r="AT2" s="28"/>
      <c r="AU2" s="1" t="s">
        <v>32</v>
      </c>
      <c r="AV2" s="1" t="s">
        <v>33</v>
      </c>
      <c r="AW2" s="28"/>
      <c r="AX2" s="1" t="s">
        <v>32</v>
      </c>
      <c r="AY2" s="1" t="s">
        <v>33</v>
      </c>
      <c r="AZ2" s="28"/>
      <c r="BA2" s="1" t="s">
        <v>32</v>
      </c>
      <c r="BB2" s="1" t="s">
        <v>33</v>
      </c>
      <c r="BC2" s="28"/>
      <c r="BD2" s="28"/>
      <c r="BE2" s="28"/>
    </row>
    <row r="3" spans="2:57" x14ac:dyDescent="0.35">
      <c r="B3" s="38">
        <v>0</v>
      </c>
      <c r="C3" s="38">
        <v>73.287000000000006</v>
      </c>
      <c r="E3" s="38">
        <v>0</v>
      </c>
      <c r="F3" s="38">
        <v>65.316000000000003</v>
      </c>
      <c r="H3" s="53">
        <v>0</v>
      </c>
      <c r="I3" s="53">
        <v>61.284999999999997</v>
      </c>
      <c r="K3" s="38">
        <v>0</v>
      </c>
      <c r="L3" s="38">
        <v>62.101999999999997</v>
      </c>
      <c r="N3" s="38">
        <v>0</v>
      </c>
      <c r="O3" s="38">
        <v>64.524000000000001</v>
      </c>
      <c r="Q3" s="38">
        <v>0</v>
      </c>
      <c r="R3" s="38">
        <v>64.953000000000003</v>
      </c>
      <c r="T3" s="53">
        <v>0</v>
      </c>
      <c r="U3" s="53">
        <v>61.646000000000001</v>
      </c>
      <c r="W3" s="38">
        <v>0</v>
      </c>
      <c r="X3" s="38">
        <v>67.677999999999997</v>
      </c>
      <c r="Z3" s="38">
        <v>0</v>
      </c>
      <c r="AA3" s="38">
        <v>65.894999999999996</v>
      </c>
      <c r="AC3" s="38">
        <v>0</v>
      </c>
      <c r="AD3" s="38">
        <v>70.837999999999994</v>
      </c>
      <c r="AF3" s="53">
        <v>0</v>
      </c>
      <c r="AG3" s="53">
        <v>58.220999999999997</v>
      </c>
      <c r="AI3" s="53">
        <v>0</v>
      </c>
      <c r="AJ3" s="53">
        <v>75.804000000000002</v>
      </c>
      <c r="AL3" s="53">
        <v>0</v>
      </c>
      <c r="AM3" s="53">
        <v>76.082999999999998</v>
      </c>
      <c r="AO3" s="53">
        <v>0</v>
      </c>
      <c r="AP3" s="53">
        <v>71.582999999999998</v>
      </c>
      <c r="AR3" s="52">
        <v>0</v>
      </c>
      <c r="AS3" s="53">
        <v>62.500999999999998</v>
      </c>
      <c r="AU3" s="38">
        <v>0</v>
      </c>
      <c r="AV3" s="38">
        <v>74.756</v>
      </c>
      <c r="AX3" s="38">
        <v>0</v>
      </c>
      <c r="AY3" s="38">
        <v>58.201000000000001</v>
      </c>
      <c r="BA3" s="38">
        <v>0</v>
      </c>
      <c r="BB3" s="38">
        <v>63.393000000000001</v>
      </c>
    </row>
    <row r="4" spans="2:57" x14ac:dyDescent="0.35">
      <c r="B4" s="38">
        <v>81</v>
      </c>
      <c r="C4" s="38">
        <v>74.787999999999997</v>
      </c>
      <c r="E4" s="38">
        <v>70</v>
      </c>
      <c r="F4" s="38">
        <v>65.475999999999999</v>
      </c>
      <c r="H4" s="53">
        <v>124</v>
      </c>
      <c r="I4" s="53">
        <v>61.08</v>
      </c>
      <c r="K4" s="53">
        <v>70</v>
      </c>
      <c r="L4" s="53">
        <v>63.58</v>
      </c>
      <c r="N4" s="53">
        <v>296</v>
      </c>
      <c r="O4" s="53">
        <v>64.849999999999994</v>
      </c>
      <c r="Q4" s="53">
        <v>356</v>
      </c>
      <c r="R4" s="53">
        <v>61.695</v>
      </c>
      <c r="T4" s="53">
        <v>212</v>
      </c>
      <c r="U4" s="53">
        <v>68.128</v>
      </c>
      <c r="W4" s="53">
        <v>170</v>
      </c>
      <c r="X4" s="53">
        <v>66.054000000000002</v>
      </c>
      <c r="Z4" s="53">
        <v>228</v>
      </c>
      <c r="AA4" s="53">
        <v>65.891999999999996</v>
      </c>
      <c r="AC4" s="53">
        <v>107</v>
      </c>
      <c r="AD4" s="53">
        <v>71.239000000000004</v>
      </c>
      <c r="AF4" s="53">
        <v>154</v>
      </c>
      <c r="AG4" s="53">
        <v>58.557000000000002</v>
      </c>
      <c r="AI4" s="53">
        <v>47</v>
      </c>
      <c r="AJ4" s="53">
        <v>76.158000000000001</v>
      </c>
      <c r="AL4" s="53">
        <v>177</v>
      </c>
      <c r="AM4" s="53">
        <v>76.382999999999996</v>
      </c>
      <c r="AO4" s="53">
        <v>85</v>
      </c>
      <c r="AP4" s="53">
        <v>71.453000000000003</v>
      </c>
      <c r="AR4" s="52">
        <v>48</v>
      </c>
      <c r="AS4" s="53">
        <v>61.923000000000002</v>
      </c>
      <c r="AU4" s="38">
        <v>126</v>
      </c>
      <c r="AV4" s="38">
        <v>74.941000000000003</v>
      </c>
      <c r="AX4" s="38">
        <v>89</v>
      </c>
      <c r="AY4" s="38">
        <v>54.088000000000001</v>
      </c>
      <c r="BA4" s="38">
        <v>110</v>
      </c>
      <c r="BB4" s="38">
        <v>61.963999999999999</v>
      </c>
    </row>
    <row r="5" spans="2:57" x14ac:dyDescent="0.35">
      <c r="B5" s="38">
        <v>271</v>
      </c>
      <c r="C5" s="38">
        <v>72.471000000000004</v>
      </c>
      <c r="E5" s="38">
        <v>317</v>
      </c>
      <c r="F5" s="38">
        <v>65.462999999999994</v>
      </c>
      <c r="H5" s="53">
        <v>212</v>
      </c>
      <c r="I5" s="53">
        <v>60.947000000000003</v>
      </c>
      <c r="K5" s="53">
        <v>370</v>
      </c>
      <c r="L5" s="53">
        <v>63.151000000000003</v>
      </c>
      <c r="N5" s="53">
        <v>419</v>
      </c>
      <c r="O5" s="53">
        <v>65.7</v>
      </c>
      <c r="Q5" s="53">
        <v>471</v>
      </c>
      <c r="R5" s="53">
        <v>63.91</v>
      </c>
      <c r="T5" s="53">
        <v>303</v>
      </c>
      <c r="U5" s="53">
        <v>67.683000000000007</v>
      </c>
      <c r="W5" s="53">
        <v>404</v>
      </c>
      <c r="X5" s="38">
        <v>63.695999999999998</v>
      </c>
      <c r="Z5" s="53">
        <v>315</v>
      </c>
      <c r="AA5" s="53">
        <v>65.728999999999999</v>
      </c>
      <c r="AC5" s="53">
        <v>198</v>
      </c>
      <c r="AD5" s="53">
        <v>71.265000000000001</v>
      </c>
      <c r="AF5" s="53">
        <v>250</v>
      </c>
      <c r="AG5" s="53">
        <v>57.255000000000003</v>
      </c>
      <c r="AH5" s="13" t="s">
        <v>243</v>
      </c>
      <c r="AI5" s="40">
        <v>153</v>
      </c>
      <c r="AJ5" s="40">
        <v>76.123999999999995</v>
      </c>
      <c r="AL5" s="38">
        <v>262</v>
      </c>
      <c r="AM5" s="38">
        <v>76.504000000000005</v>
      </c>
      <c r="AO5" s="38">
        <v>205</v>
      </c>
      <c r="AP5" s="38">
        <v>71.19</v>
      </c>
      <c r="AQ5" s="19" t="s">
        <v>241</v>
      </c>
      <c r="AR5" s="52">
        <v>330</v>
      </c>
      <c r="AS5" s="53">
        <v>57.295000000000002</v>
      </c>
      <c r="AU5" s="38">
        <v>224</v>
      </c>
      <c r="AV5" s="38">
        <v>74.852000000000004</v>
      </c>
      <c r="AX5" s="38">
        <v>209</v>
      </c>
      <c r="AY5" s="38">
        <v>54.305</v>
      </c>
      <c r="BA5" s="38">
        <v>211</v>
      </c>
      <c r="BB5" s="38">
        <v>61.932000000000002</v>
      </c>
    </row>
    <row r="6" spans="2:57" x14ac:dyDescent="0.35">
      <c r="B6" s="38">
        <v>379</v>
      </c>
      <c r="C6" s="38">
        <v>73.718999999999994</v>
      </c>
      <c r="E6" s="38">
        <v>423</v>
      </c>
      <c r="F6" s="38">
        <v>63.695</v>
      </c>
      <c r="H6" s="53">
        <v>310</v>
      </c>
      <c r="I6" s="53">
        <v>60.473999999999997</v>
      </c>
      <c r="K6" s="53">
        <v>539</v>
      </c>
      <c r="L6" s="53">
        <v>63.177999999999997</v>
      </c>
      <c r="N6" s="53">
        <v>621</v>
      </c>
      <c r="O6" s="53">
        <v>67.028999999999996</v>
      </c>
      <c r="Q6" s="53">
        <v>580</v>
      </c>
      <c r="R6" s="53">
        <v>63.51</v>
      </c>
      <c r="T6" s="53">
        <v>409</v>
      </c>
      <c r="U6" s="53">
        <v>67.245999999999995</v>
      </c>
      <c r="W6" s="53">
        <v>493</v>
      </c>
      <c r="X6" s="53">
        <v>62.131</v>
      </c>
      <c r="Z6" s="53">
        <v>543</v>
      </c>
      <c r="AA6" s="53">
        <v>66.260999999999996</v>
      </c>
      <c r="AC6" s="53">
        <v>297</v>
      </c>
      <c r="AD6" s="53">
        <v>69.87</v>
      </c>
      <c r="AF6" s="53">
        <v>345</v>
      </c>
      <c r="AG6" s="53">
        <v>56.058999999999997</v>
      </c>
      <c r="AI6" s="53">
        <v>246</v>
      </c>
      <c r="AJ6" s="53">
        <v>75.712000000000003</v>
      </c>
      <c r="AL6" s="53">
        <v>368</v>
      </c>
      <c r="AM6" s="53">
        <v>76.667000000000002</v>
      </c>
      <c r="AO6" s="53">
        <v>299</v>
      </c>
      <c r="AP6" s="53">
        <v>71.522999999999996</v>
      </c>
      <c r="AR6" s="52">
        <v>407</v>
      </c>
      <c r="AS6" s="53">
        <v>59.665999999999997</v>
      </c>
      <c r="AU6" s="38">
        <v>323</v>
      </c>
      <c r="AV6" s="38">
        <v>75.183000000000007</v>
      </c>
      <c r="AX6" s="38">
        <v>395</v>
      </c>
      <c r="AY6" s="38">
        <v>55.417999999999999</v>
      </c>
      <c r="BA6" s="38">
        <v>303</v>
      </c>
      <c r="BB6" s="38">
        <v>61.512</v>
      </c>
    </row>
    <row r="7" spans="2:57" x14ac:dyDescent="0.35">
      <c r="B7" s="38">
        <v>476</v>
      </c>
      <c r="C7" s="38">
        <v>72.771000000000001</v>
      </c>
      <c r="E7" s="38">
        <v>528</v>
      </c>
      <c r="F7" s="38">
        <v>63.201000000000001</v>
      </c>
      <c r="H7" s="53">
        <v>405</v>
      </c>
      <c r="I7" s="53">
        <v>61.027999999999999</v>
      </c>
      <c r="K7" s="53">
        <v>571</v>
      </c>
      <c r="L7" s="53">
        <v>62.655000000000001</v>
      </c>
      <c r="N7" s="53">
        <v>733</v>
      </c>
      <c r="O7" s="53">
        <v>65.947000000000003</v>
      </c>
      <c r="Q7" s="53">
        <v>689</v>
      </c>
      <c r="R7" s="53">
        <v>63.186</v>
      </c>
      <c r="T7" s="53">
        <v>510</v>
      </c>
      <c r="U7" s="53">
        <v>66.277000000000001</v>
      </c>
      <c r="W7" s="53">
        <v>595</v>
      </c>
      <c r="X7" s="53">
        <v>60.597000000000001</v>
      </c>
      <c r="Z7" s="53">
        <v>753</v>
      </c>
      <c r="AA7" s="53">
        <v>65.67</v>
      </c>
      <c r="AC7" s="53">
        <v>423</v>
      </c>
      <c r="AD7" s="53">
        <v>70.376999999999995</v>
      </c>
      <c r="AF7" s="53">
        <v>519</v>
      </c>
      <c r="AG7" s="53">
        <v>57.06</v>
      </c>
      <c r="AI7" s="53">
        <v>335</v>
      </c>
      <c r="AJ7" s="53">
        <v>77.363</v>
      </c>
      <c r="AL7" s="53">
        <v>482</v>
      </c>
      <c r="AM7" s="53">
        <v>76.885000000000005</v>
      </c>
      <c r="AO7" s="53">
        <v>396</v>
      </c>
      <c r="AP7" s="53">
        <v>71.994</v>
      </c>
      <c r="AR7" s="52">
        <v>493</v>
      </c>
      <c r="AS7" s="53">
        <v>59.014000000000003</v>
      </c>
      <c r="AU7" s="38">
        <v>419</v>
      </c>
      <c r="AV7" s="38">
        <v>75.572000000000003</v>
      </c>
      <c r="AX7" s="38">
        <v>510</v>
      </c>
      <c r="AY7" s="38">
        <v>56.442</v>
      </c>
      <c r="BA7" s="38">
        <v>395</v>
      </c>
      <c r="BB7" s="38">
        <v>61.65</v>
      </c>
    </row>
    <row r="8" spans="2:57" x14ac:dyDescent="0.35">
      <c r="B8" s="38">
        <v>570</v>
      </c>
      <c r="C8" s="38">
        <v>72.387</v>
      </c>
      <c r="E8" s="38">
        <v>646</v>
      </c>
      <c r="F8" s="38">
        <v>63.176000000000002</v>
      </c>
      <c r="H8" s="53">
        <v>489</v>
      </c>
      <c r="I8" s="53">
        <v>61.944000000000003</v>
      </c>
      <c r="K8" s="53">
        <v>691</v>
      </c>
      <c r="L8" s="53">
        <v>61.905000000000001</v>
      </c>
      <c r="N8" s="53">
        <v>835</v>
      </c>
      <c r="O8" s="53">
        <v>65.558999999999997</v>
      </c>
      <c r="Q8" s="53">
        <v>800</v>
      </c>
      <c r="R8" s="53">
        <v>63.139000000000003</v>
      </c>
      <c r="T8" s="53">
        <v>647</v>
      </c>
      <c r="U8" s="53">
        <v>66.56</v>
      </c>
      <c r="W8" s="53">
        <v>695</v>
      </c>
      <c r="X8" s="53">
        <v>59.148000000000003</v>
      </c>
      <c r="Z8" s="53">
        <v>854</v>
      </c>
      <c r="AA8" s="53">
        <v>65.787000000000006</v>
      </c>
      <c r="AC8" s="53">
        <v>521</v>
      </c>
      <c r="AD8" s="53">
        <v>70.584999999999994</v>
      </c>
      <c r="AF8" s="53">
        <v>617</v>
      </c>
      <c r="AG8" s="53">
        <v>56.601999999999997</v>
      </c>
      <c r="AI8" s="53">
        <v>437</v>
      </c>
      <c r="AJ8" s="53">
        <v>74.295000000000002</v>
      </c>
      <c r="AL8" s="53">
        <v>572</v>
      </c>
      <c r="AM8" s="53">
        <v>77.111999999999995</v>
      </c>
      <c r="AO8" s="53">
        <v>495</v>
      </c>
      <c r="AP8" s="53">
        <v>72.793999999999997</v>
      </c>
      <c r="AR8" s="52">
        <v>577</v>
      </c>
      <c r="AS8" s="53">
        <v>59.131999999999998</v>
      </c>
      <c r="AU8" s="38">
        <v>545</v>
      </c>
      <c r="AV8" s="38">
        <v>75.370999999999995</v>
      </c>
      <c r="AX8" s="38">
        <v>617</v>
      </c>
      <c r="AY8" s="38">
        <v>57.247999999999998</v>
      </c>
      <c r="BA8" s="38">
        <v>490</v>
      </c>
      <c r="BB8" s="38">
        <v>61.673999999999999</v>
      </c>
    </row>
    <row r="9" spans="2:57" x14ac:dyDescent="0.35">
      <c r="B9" s="38">
        <v>741</v>
      </c>
      <c r="C9" s="38">
        <v>72.778999999999996</v>
      </c>
      <c r="E9" s="38">
        <v>764</v>
      </c>
      <c r="F9" s="38">
        <v>63.872999999999998</v>
      </c>
      <c r="H9" s="53">
        <v>583</v>
      </c>
      <c r="I9" s="53">
        <v>61.085000000000001</v>
      </c>
      <c r="K9" s="53">
        <v>865</v>
      </c>
      <c r="L9" s="53">
        <v>61.317</v>
      </c>
      <c r="N9" s="53">
        <v>929</v>
      </c>
      <c r="O9" s="53">
        <v>65.448999999999998</v>
      </c>
      <c r="Q9" s="53">
        <v>904</v>
      </c>
      <c r="R9" s="53">
        <v>61.97</v>
      </c>
      <c r="T9" s="53">
        <v>774</v>
      </c>
      <c r="U9" s="53">
        <v>66.153000000000006</v>
      </c>
      <c r="W9" s="53">
        <v>784</v>
      </c>
      <c r="X9" s="53">
        <v>60.100999999999999</v>
      </c>
      <c r="Z9" s="53">
        <v>976</v>
      </c>
      <c r="AA9" s="53">
        <v>65.296999999999997</v>
      </c>
      <c r="AC9" s="53">
        <v>623</v>
      </c>
      <c r="AD9" s="53">
        <v>68.938999999999993</v>
      </c>
      <c r="AF9" s="53">
        <v>714</v>
      </c>
      <c r="AG9" s="53">
        <v>56.283999999999999</v>
      </c>
      <c r="AI9" s="53">
        <v>530</v>
      </c>
      <c r="AJ9" s="53">
        <v>76.813000000000002</v>
      </c>
      <c r="AL9" s="53">
        <v>653</v>
      </c>
      <c r="AM9" s="53">
        <v>78</v>
      </c>
      <c r="AO9" s="53">
        <v>581</v>
      </c>
      <c r="AP9" s="53">
        <v>72.697000000000003</v>
      </c>
      <c r="AR9" s="52">
        <v>663</v>
      </c>
      <c r="AS9" s="53">
        <v>60.661000000000001</v>
      </c>
      <c r="AU9" s="38">
        <v>650</v>
      </c>
      <c r="AV9" s="38">
        <v>76.201999999999998</v>
      </c>
      <c r="AX9" s="38">
        <v>721</v>
      </c>
      <c r="AY9" s="38">
        <v>58.241999999999997</v>
      </c>
      <c r="BA9" s="38">
        <v>585</v>
      </c>
      <c r="BB9" s="38">
        <v>63.058</v>
      </c>
    </row>
    <row r="10" spans="2:57" x14ac:dyDescent="0.35">
      <c r="B10" s="38">
        <v>841</v>
      </c>
      <c r="C10" s="38">
        <v>72.257000000000005</v>
      </c>
      <c r="E10" s="38">
        <v>867</v>
      </c>
      <c r="F10" s="38">
        <v>63.350999999999999</v>
      </c>
      <c r="H10" s="53">
        <v>676</v>
      </c>
      <c r="I10" s="53">
        <v>61.451999999999998</v>
      </c>
      <c r="K10" s="53">
        <v>961</v>
      </c>
      <c r="L10" s="53">
        <v>62.048999999999999</v>
      </c>
      <c r="N10" s="53">
        <v>1033</v>
      </c>
      <c r="O10" s="53">
        <v>65.953000000000003</v>
      </c>
      <c r="Q10" s="53">
        <v>1010</v>
      </c>
      <c r="R10" s="53">
        <v>63.421999999999997</v>
      </c>
      <c r="T10" s="53">
        <v>977</v>
      </c>
      <c r="U10" s="53">
        <v>65.997</v>
      </c>
      <c r="W10" s="53">
        <v>876</v>
      </c>
      <c r="X10" s="53">
        <v>63.545000000000002</v>
      </c>
      <c r="Z10" s="53">
        <v>1095</v>
      </c>
      <c r="AA10" s="53">
        <v>64.775999999999996</v>
      </c>
      <c r="AC10" s="53">
        <v>731</v>
      </c>
      <c r="AD10" s="53">
        <v>69.075999999999993</v>
      </c>
      <c r="AF10" s="53">
        <v>921</v>
      </c>
      <c r="AG10" s="53">
        <v>57.021999999999998</v>
      </c>
      <c r="AI10" s="53">
        <v>623</v>
      </c>
      <c r="AJ10" s="53">
        <v>76.069000000000003</v>
      </c>
      <c r="AL10" s="53">
        <v>744</v>
      </c>
      <c r="AM10" s="53">
        <v>78</v>
      </c>
      <c r="AO10" s="53">
        <v>680</v>
      </c>
      <c r="AP10" s="53">
        <v>72.748999999999995</v>
      </c>
      <c r="AR10" s="52">
        <v>750</v>
      </c>
      <c r="AS10" s="53">
        <v>58.16</v>
      </c>
      <c r="AU10" s="38">
        <v>752</v>
      </c>
      <c r="AV10" s="38">
        <v>76.055999999999997</v>
      </c>
      <c r="AX10" s="38">
        <v>825</v>
      </c>
      <c r="AY10" s="38">
        <v>58.194000000000003</v>
      </c>
      <c r="BA10" s="38">
        <v>676</v>
      </c>
      <c r="BB10" s="38">
        <v>64.394999999999996</v>
      </c>
    </row>
    <row r="11" spans="2:57" x14ac:dyDescent="0.35">
      <c r="B11" s="38">
        <v>961</v>
      </c>
      <c r="C11" s="38">
        <v>73.456999999999994</v>
      </c>
      <c r="E11" s="38">
        <v>968</v>
      </c>
      <c r="F11" s="38">
        <v>63.671999999999997</v>
      </c>
      <c r="H11" s="53">
        <v>976</v>
      </c>
      <c r="I11" s="53">
        <v>63.406999999999996</v>
      </c>
      <c r="K11" s="53">
        <v>1045</v>
      </c>
      <c r="L11" s="53">
        <v>62.603000000000002</v>
      </c>
      <c r="N11" s="53">
        <v>1136</v>
      </c>
      <c r="O11" s="53">
        <v>65.269000000000005</v>
      </c>
      <c r="Q11" s="53">
        <v>1105</v>
      </c>
      <c r="R11" s="53">
        <v>60.366</v>
      </c>
      <c r="T11" s="53">
        <v>1088</v>
      </c>
      <c r="U11" s="53">
        <v>65.213999999999999</v>
      </c>
      <c r="W11" s="53">
        <v>975</v>
      </c>
      <c r="X11" s="53">
        <v>63.621000000000002</v>
      </c>
      <c r="Z11" s="53">
        <v>1220</v>
      </c>
      <c r="AA11" s="53">
        <v>64.409000000000006</v>
      </c>
      <c r="AC11" s="53">
        <v>834</v>
      </c>
      <c r="AD11" s="53">
        <v>69.352999999999994</v>
      </c>
      <c r="AF11" s="53">
        <v>1040</v>
      </c>
      <c r="AG11" s="53">
        <v>56.781999999999996</v>
      </c>
      <c r="AI11" s="53">
        <v>715</v>
      </c>
      <c r="AJ11" s="53">
        <v>75.619</v>
      </c>
      <c r="AL11" s="53">
        <v>840</v>
      </c>
      <c r="AM11" s="53">
        <v>78.504999999999995</v>
      </c>
      <c r="AO11" s="53">
        <v>779</v>
      </c>
      <c r="AP11" s="53">
        <v>72.146000000000001</v>
      </c>
      <c r="AR11" s="52">
        <v>848</v>
      </c>
      <c r="AS11" s="53">
        <v>61.954000000000001</v>
      </c>
      <c r="AU11" s="38">
        <v>847</v>
      </c>
      <c r="AV11" s="38">
        <v>76.085999999999999</v>
      </c>
      <c r="AX11" s="38">
        <v>924</v>
      </c>
      <c r="AY11" s="38">
        <v>56.923999999999999</v>
      </c>
      <c r="BA11" s="38">
        <v>777</v>
      </c>
      <c r="BB11" s="38">
        <v>63.811</v>
      </c>
    </row>
    <row r="12" spans="2:57" x14ac:dyDescent="0.35">
      <c r="B12" s="38">
        <v>1076</v>
      </c>
      <c r="C12" s="38">
        <v>72.381</v>
      </c>
      <c r="E12" s="38">
        <v>1061</v>
      </c>
      <c r="F12" s="38">
        <v>64.146000000000001</v>
      </c>
      <c r="H12" s="53">
        <v>1079</v>
      </c>
      <c r="I12" s="53">
        <v>62.74</v>
      </c>
      <c r="K12" s="53">
        <v>1137</v>
      </c>
      <c r="L12" s="53">
        <v>62.360999999999997</v>
      </c>
      <c r="N12" s="53">
        <v>1233</v>
      </c>
      <c r="O12" s="53">
        <v>65.619</v>
      </c>
      <c r="Q12" s="53">
        <v>1196</v>
      </c>
      <c r="R12" s="53">
        <v>60.981000000000002</v>
      </c>
      <c r="T12" s="53">
        <v>1190</v>
      </c>
      <c r="U12" s="53">
        <v>65.328000000000003</v>
      </c>
      <c r="W12" s="53">
        <v>1070</v>
      </c>
      <c r="X12" s="53">
        <v>63.091000000000001</v>
      </c>
      <c r="Z12" s="53">
        <v>1339</v>
      </c>
      <c r="AA12" s="53">
        <v>64.355999999999995</v>
      </c>
      <c r="AC12" s="53">
        <v>930</v>
      </c>
      <c r="AD12" s="53">
        <v>69.195999999999998</v>
      </c>
      <c r="AF12" s="53">
        <v>1144</v>
      </c>
      <c r="AG12" s="53">
        <v>55.25</v>
      </c>
      <c r="AI12" s="53">
        <v>810</v>
      </c>
      <c r="AJ12" s="53">
        <v>75.632000000000005</v>
      </c>
      <c r="AL12" s="53">
        <v>940</v>
      </c>
      <c r="AM12" s="53">
        <v>78.427000000000007</v>
      </c>
      <c r="AO12" s="53">
        <v>871</v>
      </c>
      <c r="AP12" s="53">
        <v>72.884</v>
      </c>
      <c r="AR12" s="52">
        <v>938</v>
      </c>
      <c r="AS12" s="53">
        <v>63.152999999999999</v>
      </c>
      <c r="AU12" s="38">
        <v>953</v>
      </c>
      <c r="AV12" s="38">
        <v>76.269000000000005</v>
      </c>
      <c r="AX12" s="38">
        <v>1021</v>
      </c>
      <c r="AY12" s="38">
        <v>57.991999999999997</v>
      </c>
      <c r="BA12" s="38">
        <v>884</v>
      </c>
      <c r="BB12" s="38">
        <v>65.138999999999996</v>
      </c>
    </row>
    <row r="13" spans="2:57" x14ac:dyDescent="0.35">
      <c r="B13" s="38">
        <v>1169</v>
      </c>
      <c r="C13" s="38">
        <v>72.152000000000001</v>
      </c>
      <c r="E13" s="38">
        <v>1176</v>
      </c>
      <c r="F13" s="38">
        <v>64.966999999999999</v>
      </c>
      <c r="G13" s="19" t="s">
        <v>235</v>
      </c>
      <c r="H13" s="39">
        <v>1118</v>
      </c>
      <c r="I13" s="39">
        <v>59.734000000000002</v>
      </c>
      <c r="K13" s="53">
        <v>1319</v>
      </c>
      <c r="L13" s="53">
        <v>63.889000000000003</v>
      </c>
      <c r="N13" s="53">
        <v>1333</v>
      </c>
      <c r="O13" s="53">
        <v>65.206000000000003</v>
      </c>
      <c r="Q13" s="53">
        <v>1300</v>
      </c>
      <c r="R13" s="53">
        <v>60.048999999999999</v>
      </c>
      <c r="T13" s="53">
        <v>1302</v>
      </c>
      <c r="U13" s="53">
        <v>66.015000000000001</v>
      </c>
      <c r="W13" s="53">
        <v>1292</v>
      </c>
      <c r="X13" s="53">
        <v>64.741</v>
      </c>
      <c r="Z13" s="53">
        <v>1471</v>
      </c>
      <c r="AA13" s="53">
        <v>63.848999999999997</v>
      </c>
      <c r="AC13" s="53">
        <v>1023</v>
      </c>
      <c r="AD13" s="53">
        <v>69.084999999999994</v>
      </c>
      <c r="AF13" s="53">
        <v>1327</v>
      </c>
      <c r="AG13" s="53">
        <v>57.38</v>
      </c>
      <c r="AI13" s="53">
        <v>925</v>
      </c>
      <c r="AJ13" s="53">
        <v>75.251000000000005</v>
      </c>
      <c r="AL13" s="53">
        <v>1045</v>
      </c>
      <c r="AM13" s="53">
        <v>78.840999999999994</v>
      </c>
      <c r="AO13" s="53">
        <v>997</v>
      </c>
      <c r="AP13" s="53">
        <v>73.463999999999999</v>
      </c>
      <c r="AR13" s="52">
        <v>1104</v>
      </c>
      <c r="AS13" s="53">
        <v>62.945999999999998</v>
      </c>
      <c r="AU13" s="38">
        <v>1053</v>
      </c>
      <c r="AV13" s="38">
        <v>75.959999999999994</v>
      </c>
      <c r="AX13" s="38">
        <v>1124</v>
      </c>
      <c r="AY13" s="38">
        <v>59.325000000000003</v>
      </c>
      <c r="AZ13" s="13" t="s">
        <v>238</v>
      </c>
      <c r="BA13" s="15">
        <v>983</v>
      </c>
      <c r="BB13" s="15">
        <v>64.558999999999997</v>
      </c>
    </row>
    <row r="14" spans="2:57" x14ac:dyDescent="0.35">
      <c r="B14" s="38">
        <v>1290</v>
      </c>
      <c r="C14" s="38">
        <v>72.106999999999999</v>
      </c>
      <c r="E14" s="38">
        <v>1275</v>
      </c>
      <c r="F14" s="38">
        <v>64.894000000000005</v>
      </c>
      <c r="H14" s="53">
        <v>1161</v>
      </c>
      <c r="I14" s="53">
        <v>62.691000000000003</v>
      </c>
      <c r="K14" s="53">
        <v>1427</v>
      </c>
      <c r="L14" s="53">
        <v>65.614999999999995</v>
      </c>
      <c r="N14" s="53">
        <v>1523</v>
      </c>
      <c r="O14" s="53">
        <v>64.933000000000007</v>
      </c>
      <c r="Q14" s="53">
        <v>1406</v>
      </c>
      <c r="R14" s="53">
        <v>61.832000000000001</v>
      </c>
      <c r="T14" s="53">
        <v>1413</v>
      </c>
      <c r="U14" s="53">
        <v>66.695999999999998</v>
      </c>
      <c r="W14" s="53">
        <v>1380</v>
      </c>
      <c r="X14" s="53">
        <v>63.140999999999998</v>
      </c>
      <c r="Z14" s="53">
        <v>1590</v>
      </c>
      <c r="AA14" s="53">
        <v>64.128</v>
      </c>
      <c r="AC14" s="53">
        <v>1114</v>
      </c>
      <c r="AD14" s="53">
        <v>68.855000000000004</v>
      </c>
      <c r="AF14" s="53">
        <v>1425</v>
      </c>
      <c r="AG14" s="53">
        <v>57.674999999999997</v>
      </c>
      <c r="AI14" s="53">
        <v>1055</v>
      </c>
      <c r="AJ14" s="53">
        <v>74.962000000000003</v>
      </c>
      <c r="AL14" s="53">
        <v>1146</v>
      </c>
      <c r="AM14" s="53">
        <v>78.875</v>
      </c>
      <c r="AO14" s="53">
        <v>1102</v>
      </c>
      <c r="AP14" s="53">
        <v>74.200999999999993</v>
      </c>
      <c r="AR14" s="52">
        <v>1187</v>
      </c>
      <c r="AS14" s="53">
        <v>62.838999999999999</v>
      </c>
      <c r="AU14" s="38">
        <v>1141</v>
      </c>
      <c r="AV14" s="38">
        <v>76.501999999999995</v>
      </c>
      <c r="AX14" s="38">
        <v>1220</v>
      </c>
      <c r="AY14" s="38">
        <v>58.817</v>
      </c>
      <c r="BA14" s="38">
        <v>1096</v>
      </c>
      <c r="BB14" s="53">
        <v>64.959999999999994</v>
      </c>
    </row>
    <row r="15" spans="2:57" x14ac:dyDescent="0.35">
      <c r="B15" s="38">
        <v>1402</v>
      </c>
      <c r="C15" s="38">
        <v>72.353999999999999</v>
      </c>
      <c r="E15" s="38">
        <v>1373</v>
      </c>
      <c r="F15" s="38">
        <v>65.450999999999993</v>
      </c>
      <c r="H15" s="53">
        <v>1266</v>
      </c>
      <c r="I15" s="53">
        <v>63.124000000000002</v>
      </c>
      <c r="K15" s="53">
        <v>1519</v>
      </c>
      <c r="L15" s="53">
        <v>65.715999999999994</v>
      </c>
      <c r="N15" s="53">
        <v>1625</v>
      </c>
      <c r="O15" s="53">
        <v>65.283000000000001</v>
      </c>
      <c r="Q15" s="53">
        <v>1523</v>
      </c>
      <c r="R15" s="53">
        <v>61.414999999999999</v>
      </c>
      <c r="T15" s="53">
        <v>1521</v>
      </c>
      <c r="U15" s="53">
        <v>64.483999999999995</v>
      </c>
      <c r="W15" s="53">
        <v>1589</v>
      </c>
      <c r="X15" s="53">
        <v>63.77</v>
      </c>
      <c r="Z15" s="53">
        <v>1720</v>
      </c>
      <c r="AA15" s="53">
        <v>64.320999999999998</v>
      </c>
      <c r="AC15" s="53">
        <v>1213</v>
      </c>
      <c r="AD15" s="53">
        <v>69.48</v>
      </c>
      <c r="AF15" s="53">
        <v>1524</v>
      </c>
      <c r="AG15" s="53">
        <v>57.689</v>
      </c>
      <c r="AI15" s="53">
        <v>1121</v>
      </c>
      <c r="AJ15" s="53">
        <v>75.302999999999997</v>
      </c>
      <c r="AL15" s="53">
        <v>1254</v>
      </c>
      <c r="AM15" s="53">
        <v>78.52</v>
      </c>
      <c r="AO15" s="53">
        <v>1208</v>
      </c>
      <c r="AP15" s="53">
        <v>73.037999999999997</v>
      </c>
      <c r="AR15" s="52">
        <v>1281</v>
      </c>
      <c r="AS15" s="53">
        <v>62.911999999999999</v>
      </c>
      <c r="AU15" s="38">
        <v>1234</v>
      </c>
      <c r="AV15" s="38">
        <v>76.176000000000002</v>
      </c>
      <c r="AX15" s="38">
        <v>1325</v>
      </c>
      <c r="AY15" s="38">
        <v>58.375</v>
      </c>
      <c r="BA15" s="38">
        <v>1218</v>
      </c>
      <c r="BB15" s="53">
        <v>63.725000000000001</v>
      </c>
    </row>
    <row r="16" spans="2:57" x14ac:dyDescent="0.35">
      <c r="B16" s="38">
        <v>1523</v>
      </c>
      <c r="C16" s="38">
        <v>69.653999999999996</v>
      </c>
      <c r="E16" s="38">
        <v>1480</v>
      </c>
      <c r="F16" s="38">
        <v>64.771000000000001</v>
      </c>
      <c r="H16" s="53">
        <v>1354</v>
      </c>
      <c r="I16" s="53">
        <v>63.118000000000002</v>
      </c>
      <c r="K16" s="53">
        <v>1610</v>
      </c>
      <c r="L16" s="53">
        <v>64.275999999999996</v>
      </c>
      <c r="N16" s="53">
        <v>1715</v>
      </c>
      <c r="O16" s="53">
        <v>64.234999999999999</v>
      </c>
      <c r="Q16" s="53">
        <v>1659</v>
      </c>
      <c r="R16" s="53">
        <v>63.401000000000003</v>
      </c>
      <c r="T16" s="53">
        <v>1611</v>
      </c>
      <c r="U16" s="53">
        <v>64.722999999999999</v>
      </c>
      <c r="V16" s="13" t="s">
        <v>234</v>
      </c>
      <c r="W16" s="40">
        <v>1617</v>
      </c>
      <c r="X16" s="40">
        <v>64.662000000000006</v>
      </c>
      <c r="Z16" s="53">
        <v>1833</v>
      </c>
      <c r="AA16" s="53">
        <v>64.209999999999994</v>
      </c>
      <c r="AC16" s="53">
        <v>1311</v>
      </c>
      <c r="AD16" s="53">
        <v>68.028999999999996</v>
      </c>
      <c r="AF16" s="53">
        <v>1636</v>
      </c>
      <c r="AG16" s="53">
        <v>60.045999999999999</v>
      </c>
      <c r="AI16" s="53">
        <v>1294</v>
      </c>
      <c r="AJ16" s="53">
        <v>75.781000000000006</v>
      </c>
      <c r="AL16" s="53">
        <v>1360</v>
      </c>
      <c r="AM16" s="53">
        <v>77.239000000000004</v>
      </c>
      <c r="AO16" s="53">
        <v>1301</v>
      </c>
      <c r="AP16" s="53">
        <v>73.575000000000003</v>
      </c>
      <c r="AR16" s="52">
        <v>1372</v>
      </c>
      <c r="AS16" s="53">
        <v>62.088000000000001</v>
      </c>
      <c r="AU16" s="38">
        <v>1317</v>
      </c>
      <c r="AV16" s="38">
        <v>76.831000000000003</v>
      </c>
      <c r="AX16" s="38">
        <v>1416</v>
      </c>
      <c r="AY16" s="38">
        <v>58.055</v>
      </c>
      <c r="BA16" s="38">
        <v>1361</v>
      </c>
      <c r="BB16" s="53">
        <v>61.951000000000001</v>
      </c>
    </row>
    <row r="17" spans="2:54" x14ac:dyDescent="0.35">
      <c r="B17" s="38">
        <v>1622</v>
      </c>
      <c r="C17" s="38">
        <v>70.353999999999999</v>
      </c>
      <c r="E17" s="38">
        <v>1574</v>
      </c>
      <c r="F17" s="38">
        <v>64.468999999999994</v>
      </c>
      <c r="H17" s="53">
        <v>1453</v>
      </c>
      <c r="I17" s="53">
        <v>63.116999999999997</v>
      </c>
      <c r="J17" s="13" t="s">
        <v>237</v>
      </c>
      <c r="K17" s="40">
        <v>1704</v>
      </c>
      <c r="L17" s="40">
        <v>64.558999999999997</v>
      </c>
      <c r="N17" s="53">
        <v>1807</v>
      </c>
      <c r="O17" s="53">
        <v>63.905999999999999</v>
      </c>
      <c r="Q17" s="53">
        <v>1722</v>
      </c>
      <c r="R17" s="53">
        <v>64.052000000000007</v>
      </c>
      <c r="T17" s="53">
        <v>1698</v>
      </c>
      <c r="U17" s="53">
        <v>64.405000000000001</v>
      </c>
      <c r="Z17" s="53">
        <v>1924</v>
      </c>
      <c r="AA17" s="53">
        <v>64.747</v>
      </c>
      <c r="AC17" s="53">
        <v>1407</v>
      </c>
      <c r="AD17" s="53">
        <v>68.238</v>
      </c>
      <c r="AF17" s="53">
        <v>1765</v>
      </c>
      <c r="AG17" s="53">
        <v>60.064</v>
      </c>
      <c r="AI17" s="53">
        <v>1399</v>
      </c>
      <c r="AJ17" s="53">
        <v>75.067999999999998</v>
      </c>
      <c r="AL17" s="53">
        <v>1484</v>
      </c>
      <c r="AM17" s="53">
        <v>75.992999999999995</v>
      </c>
      <c r="AO17" s="53">
        <v>1397</v>
      </c>
      <c r="AP17" s="53">
        <v>72.796000000000006</v>
      </c>
      <c r="AR17" s="52">
        <v>1485</v>
      </c>
      <c r="AS17" s="53">
        <v>62.356000000000002</v>
      </c>
      <c r="AU17" s="38">
        <v>1411</v>
      </c>
      <c r="AV17" s="38">
        <v>76.042000000000002</v>
      </c>
      <c r="AX17" s="38">
        <v>1509</v>
      </c>
      <c r="AY17" s="38">
        <v>57.533000000000001</v>
      </c>
      <c r="BA17" s="38">
        <v>1366</v>
      </c>
      <c r="BB17" s="53">
        <v>61.942</v>
      </c>
    </row>
    <row r="18" spans="2:54" x14ac:dyDescent="0.35">
      <c r="B18" s="38">
        <v>1706</v>
      </c>
      <c r="C18" s="38">
        <v>70.298000000000002</v>
      </c>
      <c r="E18" s="38">
        <v>1685</v>
      </c>
      <c r="F18" s="38">
        <v>64.367000000000004</v>
      </c>
      <c r="H18" s="53">
        <v>1555</v>
      </c>
      <c r="I18" s="53">
        <v>63.267000000000003</v>
      </c>
      <c r="K18" s="53">
        <v>1817</v>
      </c>
      <c r="L18" s="53">
        <v>64.959999999999994</v>
      </c>
      <c r="N18" s="53">
        <v>1917</v>
      </c>
      <c r="O18" s="53">
        <v>63.923999999999999</v>
      </c>
      <c r="Q18" s="53">
        <v>1920</v>
      </c>
      <c r="R18" s="53">
        <v>63.033000000000001</v>
      </c>
      <c r="T18" s="53">
        <v>1833</v>
      </c>
      <c r="U18" s="53">
        <v>67.402000000000001</v>
      </c>
      <c r="Z18" s="53">
        <v>2031</v>
      </c>
      <c r="AA18" s="53">
        <v>64.045000000000002</v>
      </c>
      <c r="AC18" s="53">
        <v>1502</v>
      </c>
      <c r="AD18" s="53">
        <v>66.849999999999994</v>
      </c>
      <c r="AF18" s="53">
        <v>1869</v>
      </c>
      <c r="AG18" s="53">
        <v>58.386000000000003</v>
      </c>
      <c r="AI18" s="53">
        <v>1505</v>
      </c>
      <c r="AJ18" s="53">
        <v>73.846000000000004</v>
      </c>
      <c r="AL18" s="53">
        <v>1570</v>
      </c>
      <c r="AM18" s="53">
        <v>74.408000000000001</v>
      </c>
      <c r="AO18" s="53">
        <v>1506</v>
      </c>
      <c r="AP18" s="53">
        <v>72.933000000000007</v>
      </c>
      <c r="AR18" s="52">
        <v>1738</v>
      </c>
      <c r="AS18" s="53">
        <v>62.84</v>
      </c>
      <c r="AT18" s="13" t="s">
        <v>244</v>
      </c>
      <c r="AU18" s="40">
        <v>1567</v>
      </c>
      <c r="AV18" s="40">
        <v>76.123999999999995</v>
      </c>
      <c r="AX18" s="38">
        <v>1602</v>
      </c>
      <c r="AY18" s="38">
        <v>58.412999999999997</v>
      </c>
      <c r="BA18" s="38">
        <v>1574</v>
      </c>
      <c r="BB18" s="53">
        <v>60.926000000000002</v>
      </c>
    </row>
    <row r="19" spans="2:54" x14ac:dyDescent="0.35">
      <c r="B19" s="38">
        <v>1794</v>
      </c>
      <c r="C19" s="38">
        <v>70.081000000000003</v>
      </c>
      <c r="E19" s="38">
        <v>1793</v>
      </c>
      <c r="F19" s="38">
        <v>64.59</v>
      </c>
      <c r="H19" s="53">
        <v>1652</v>
      </c>
      <c r="I19" s="53">
        <v>63.207000000000001</v>
      </c>
      <c r="K19" s="53">
        <v>1939</v>
      </c>
      <c r="L19" s="53">
        <v>63.725000000000001</v>
      </c>
      <c r="N19" s="53">
        <v>2156</v>
      </c>
      <c r="O19" s="53">
        <v>62.98</v>
      </c>
      <c r="Q19" s="53">
        <v>2112</v>
      </c>
      <c r="R19" s="53">
        <v>62.012999999999998</v>
      </c>
      <c r="T19" s="53">
        <v>1937</v>
      </c>
      <c r="U19" s="53">
        <v>64.542000000000002</v>
      </c>
      <c r="Z19" s="53">
        <v>2114</v>
      </c>
      <c r="AA19" s="53">
        <v>63.802</v>
      </c>
      <c r="AC19" s="53">
        <v>1591</v>
      </c>
      <c r="AD19" s="53">
        <v>66.97</v>
      </c>
      <c r="AF19" s="53">
        <v>1997</v>
      </c>
      <c r="AG19" s="53">
        <v>57.341999999999999</v>
      </c>
      <c r="AI19" s="53">
        <v>1605</v>
      </c>
      <c r="AJ19" s="53">
        <v>73.599999999999994</v>
      </c>
      <c r="AL19" s="53">
        <v>1681</v>
      </c>
      <c r="AM19" s="53">
        <v>74.984999999999999</v>
      </c>
      <c r="AO19" s="53">
        <v>1610</v>
      </c>
      <c r="AP19" s="53">
        <v>72.481999999999999</v>
      </c>
      <c r="AQ19" s="19" t="s">
        <v>246</v>
      </c>
      <c r="AR19" s="31">
        <v>1934</v>
      </c>
      <c r="AS19" s="39">
        <v>63.234000000000002</v>
      </c>
      <c r="AU19" s="38">
        <f>AI6-$AI$5+$AU$18</f>
        <v>1660</v>
      </c>
      <c r="AV19" s="53">
        <v>75.712000000000003</v>
      </c>
      <c r="AX19" s="38">
        <v>1697</v>
      </c>
      <c r="AY19" s="38">
        <v>58.771999999999998</v>
      </c>
      <c r="BA19" s="38">
        <v>1695</v>
      </c>
      <c r="BB19" s="53">
        <v>63.808</v>
      </c>
    </row>
    <row r="20" spans="2:54" x14ac:dyDescent="0.35">
      <c r="B20" s="38">
        <v>1877</v>
      </c>
      <c r="C20" s="38">
        <v>69.733000000000004</v>
      </c>
      <c r="E20" s="38">
        <v>1888</v>
      </c>
      <c r="F20" s="38">
        <v>64.132999999999996</v>
      </c>
      <c r="H20" s="53">
        <v>1764</v>
      </c>
      <c r="I20" s="53">
        <v>64.778000000000006</v>
      </c>
      <c r="K20" s="53">
        <v>2082</v>
      </c>
      <c r="L20" s="53">
        <v>61.951000000000001</v>
      </c>
      <c r="N20" s="53">
        <v>2254</v>
      </c>
      <c r="O20" s="53">
        <v>63.43</v>
      </c>
      <c r="Q20" s="53">
        <v>2212</v>
      </c>
      <c r="R20" s="53">
        <v>62.35</v>
      </c>
      <c r="T20" s="53">
        <v>2042</v>
      </c>
      <c r="U20" s="53">
        <v>65.186000000000007</v>
      </c>
      <c r="Y20" s="19" t="s">
        <v>239</v>
      </c>
      <c r="Z20" s="39">
        <v>2218</v>
      </c>
      <c r="AA20" s="39">
        <v>61.677</v>
      </c>
      <c r="AC20" s="53">
        <v>1803</v>
      </c>
      <c r="AD20" s="53">
        <v>66.536000000000001</v>
      </c>
      <c r="AF20" s="53">
        <v>2227</v>
      </c>
      <c r="AG20" s="53">
        <v>58.43</v>
      </c>
      <c r="AI20" s="53">
        <v>1703</v>
      </c>
      <c r="AJ20" s="53">
        <v>74.197000000000003</v>
      </c>
      <c r="AL20" s="53">
        <v>1768</v>
      </c>
      <c r="AM20" s="53">
        <v>74.558000000000007</v>
      </c>
      <c r="AO20" s="53">
        <v>1714</v>
      </c>
      <c r="AP20" s="53">
        <v>72.22</v>
      </c>
      <c r="AQ20" s="19" t="s">
        <v>234</v>
      </c>
      <c r="AR20" s="31">
        <v>2001</v>
      </c>
      <c r="AS20" s="39">
        <v>64.834999999999994</v>
      </c>
      <c r="AU20" s="38">
        <f t="shared" ref="AU20:AU82" si="0">AI7-$AI$5+$AU$18</f>
        <v>1749</v>
      </c>
      <c r="AV20" s="53">
        <v>77.363</v>
      </c>
      <c r="AX20" s="38">
        <v>1790</v>
      </c>
      <c r="AY20" s="38">
        <v>59.832000000000001</v>
      </c>
      <c r="BA20" s="38">
        <v>1780</v>
      </c>
      <c r="BB20" s="53">
        <v>64.804000000000002</v>
      </c>
    </row>
    <row r="21" spans="2:54" x14ac:dyDescent="0.35">
      <c r="B21" s="38">
        <v>2068</v>
      </c>
      <c r="C21" s="38">
        <v>69.566000000000003</v>
      </c>
      <c r="E21" s="38">
        <v>1997</v>
      </c>
      <c r="F21" s="38">
        <v>64.245000000000005</v>
      </c>
      <c r="H21" s="53">
        <v>2004</v>
      </c>
      <c r="I21" s="53">
        <v>62.875999999999998</v>
      </c>
      <c r="K21" s="53">
        <v>2087</v>
      </c>
      <c r="L21" s="53">
        <v>61.942</v>
      </c>
      <c r="N21" s="53">
        <v>2349</v>
      </c>
      <c r="O21" s="53">
        <v>63.783000000000001</v>
      </c>
      <c r="Q21" s="53">
        <v>2322</v>
      </c>
      <c r="R21" s="53">
        <v>61.122</v>
      </c>
      <c r="T21" s="53">
        <v>2153</v>
      </c>
      <c r="U21" s="53">
        <v>63.91</v>
      </c>
      <c r="Z21" s="53">
        <v>2331</v>
      </c>
      <c r="AA21" s="53">
        <v>62.365000000000002</v>
      </c>
      <c r="AC21" s="53">
        <v>1980</v>
      </c>
      <c r="AD21" s="53">
        <v>66.91</v>
      </c>
      <c r="AF21" s="53">
        <v>2413</v>
      </c>
      <c r="AG21" s="53">
        <v>60.088000000000001</v>
      </c>
      <c r="AI21" s="53">
        <v>1809</v>
      </c>
      <c r="AJ21" s="53">
        <v>73.881</v>
      </c>
      <c r="AL21" s="53">
        <v>2059</v>
      </c>
      <c r="AM21" s="53">
        <v>73.811000000000007</v>
      </c>
      <c r="AO21" s="53">
        <v>1809</v>
      </c>
      <c r="AP21" s="53">
        <v>73.120999999999995</v>
      </c>
      <c r="AU21" s="38">
        <f t="shared" si="0"/>
        <v>1851</v>
      </c>
      <c r="AV21" s="53">
        <v>74.295000000000002</v>
      </c>
      <c r="AX21" s="38">
        <v>1882</v>
      </c>
      <c r="AY21" s="38">
        <v>59.134999999999998</v>
      </c>
      <c r="BA21" s="38">
        <v>1867</v>
      </c>
      <c r="BB21" s="53">
        <v>65.094999999999999</v>
      </c>
    </row>
    <row r="22" spans="2:54" x14ac:dyDescent="0.35">
      <c r="B22" s="38">
        <v>2189</v>
      </c>
      <c r="C22" s="38">
        <v>69.153999999999996</v>
      </c>
      <c r="E22" s="38">
        <v>2088</v>
      </c>
      <c r="F22" s="38">
        <v>64.602999999999994</v>
      </c>
      <c r="H22" s="53">
        <v>2091</v>
      </c>
      <c r="I22" s="53">
        <v>62.95</v>
      </c>
      <c r="K22" s="53">
        <v>2295</v>
      </c>
      <c r="L22" s="53">
        <v>60.926000000000002</v>
      </c>
      <c r="N22" s="53">
        <v>2454</v>
      </c>
      <c r="O22" s="53">
        <v>63.65</v>
      </c>
      <c r="Q22" s="53">
        <v>2534</v>
      </c>
      <c r="R22" s="53">
        <v>63.774999999999999</v>
      </c>
      <c r="T22" s="53">
        <v>2259</v>
      </c>
      <c r="U22" s="53">
        <v>63.328000000000003</v>
      </c>
      <c r="Z22" s="53">
        <v>2442</v>
      </c>
      <c r="AA22" s="53">
        <v>62.518999999999998</v>
      </c>
      <c r="AC22" s="53">
        <v>2061</v>
      </c>
      <c r="AD22" s="53">
        <v>66.8</v>
      </c>
      <c r="AF22" s="53">
        <v>2515</v>
      </c>
      <c r="AG22" s="53">
        <v>61.061999999999998</v>
      </c>
      <c r="AI22" s="53">
        <v>1899</v>
      </c>
      <c r="AJ22" s="53">
        <v>73.498000000000005</v>
      </c>
      <c r="AL22" s="53">
        <v>2262</v>
      </c>
      <c r="AM22" s="53">
        <v>74.146000000000001</v>
      </c>
      <c r="AO22" s="53">
        <v>1914</v>
      </c>
      <c r="AP22" s="53">
        <v>71.293000000000006</v>
      </c>
      <c r="AU22" s="38">
        <f t="shared" si="0"/>
        <v>1944</v>
      </c>
      <c r="AV22" s="53">
        <v>76.813000000000002</v>
      </c>
      <c r="AX22" s="38">
        <v>1984</v>
      </c>
      <c r="AY22" s="38">
        <v>60.201999999999998</v>
      </c>
      <c r="BA22" s="38">
        <v>1962</v>
      </c>
      <c r="BB22" s="53">
        <v>65.117000000000004</v>
      </c>
    </row>
    <row r="23" spans="2:54" x14ac:dyDescent="0.35">
      <c r="B23" s="38">
        <v>2299</v>
      </c>
      <c r="C23" s="38">
        <v>69.563999999999993</v>
      </c>
      <c r="E23" s="38">
        <v>2180</v>
      </c>
      <c r="F23" s="38">
        <v>64.897000000000006</v>
      </c>
      <c r="H23" s="53">
        <v>2186</v>
      </c>
      <c r="I23" s="53">
        <v>62.972000000000001</v>
      </c>
      <c r="K23" s="53">
        <v>2416</v>
      </c>
      <c r="L23" s="53">
        <v>63.808</v>
      </c>
      <c r="N23" s="53">
        <v>2548</v>
      </c>
      <c r="O23" s="53">
        <v>64.313000000000002</v>
      </c>
      <c r="Q23" s="53">
        <v>2637</v>
      </c>
      <c r="R23" s="53">
        <v>62.85</v>
      </c>
      <c r="T23" s="53">
        <v>2377</v>
      </c>
      <c r="U23" s="53">
        <v>63.515000000000001</v>
      </c>
      <c r="Z23" s="53">
        <v>2558</v>
      </c>
      <c r="AA23" s="53">
        <v>61.491999999999997</v>
      </c>
      <c r="AC23" s="53">
        <v>2150</v>
      </c>
      <c r="AD23" s="53">
        <v>65.933000000000007</v>
      </c>
      <c r="AF23" s="53">
        <v>2619</v>
      </c>
      <c r="AG23" s="53">
        <v>61.131</v>
      </c>
      <c r="AI23" s="53">
        <v>1993</v>
      </c>
      <c r="AJ23" s="53">
        <v>73.293000000000006</v>
      </c>
      <c r="AL23" s="53">
        <v>2369</v>
      </c>
      <c r="AM23" s="53">
        <v>73.369</v>
      </c>
      <c r="AO23" s="53">
        <v>2017</v>
      </c>
      <c r="AP23" s="53">
        <v>72.373999999999995</v>
      </c>
      <c r="AU23" s="38">
        <f t="shared" si="0"/>
        <v>2037</v>
      </c>
      <c r="AV23" s="53">
        <v>76.069000000000003</v>
      </c>
      <c r="AW23" s="19" t="s">
        <v>236</v>
      </c>
      <c r="AX23" s="9">
        <v>2234</v>
      </c>
      <c r="AY23" s="9">
        <v>59.734000000000002</v>
      </c>
      <c r="BA23" s="38">
        <v>2043</v>
      </c>
      <c r="BB23" s="53">
        <v>64.75</v>
      </c>
    </row>
    <row r="24" spans="2:54" x14ac:dyDescent="0.35">
      <c r="B24" s="38">
        <v>2399</v>
      </c>
      <c r="C24" s="38">
        <v>68.391000000000005</v>
      </c>
      <c r="E24" s="38">
        <v>2254</v>
      </c>
      <c r="F24" s="38">
        <v>66.153999999999996</v>
      </c>
      <c r="H24" s="53">
        <v>2283</v>
      </c>
      <c r="I24" s="53">
        <v>63.122</v>
      </c>
      <c r="K24" s="53">
        <v>2501</v>
      </c>
      <c r="L24" s="53">
        <v>64.804000000000002</v>
      </c>
      <c r="N24" s="53">
        <v>2642</v>
      </c>
      <c r="O24" s="53">
        <v>64.775999999999996</v>
      </c>
      <c r="Q24" s="53">
        <v>2735</v>
      </c>
      <c r="R24" s="53">
        <v>62.539000000000001</v>
      </c>
      <c r="S24" s="19" t="s">
        <v>234</v>
      </c>
      <c r="T24" s="39">
        <v>2486</v>
      </c>
      <c r="U24" s="39">
        <v>65.161000000000001</v>
      </c>
      <c r="Z24" s="53">
        <v>2652</v>
      </c>
      <c r="AA24" s="53">
        <v>60.536999999999999</v>
      </c>
      <c r="AC24" s="53">
        <v>2230</v>
      </c>
      <c r="AD24" s="53">
        <v>66.870999999999995</v>
      </c>
      <c r="AF24" s="53">
        <v>2717</v>
      </c>
      <c r="AG24" s="53">
        <v>62.832999999999998</v>
      </c>
      <c r="AI24" s="53">
        <v>2088</v>
      </c>
      <c r="AJ24" s="53">
        <v>72.918999999999997</v>
      </c>
      <c r="AL24" s="53">
        <v>1463</v>
      </c>
      <c r="AM24" s="53">
        <v>72.906000000000006</v>
      </c>
      <c r="AO24" s="53">
        <v>2120</v>
      </c>
      <c r="AP24" s="53">
        <v>71.200999999999993</v>
      </c>
      <c r="AU24" s="38">
        <f t="shared" si="0"/>
        <v>2129</v>
      </c>
      <c r="AV24" s="53">
        <v>75.619</v>
      </c>
      <c r="AX24" s="38">
        <v>2277</v>
      </c>
      <c r="AY24" s="53">
        <v>62.691000000000003</v>
      </c>
      <c r="BA24" s="38">
        <v>2142</v>
      </c>
      <c r="BB24" s="53">
        <v>63.186999999999998</v>
      </c>
    </row>
    <row r="25" spans="2:54" x14ac:dyDescent="0.35">
      <c r="B25" s="38">
        <v>2506</v>
      </c>
      <c r="C25" s="38">
        <v>67.344999999999999</v>
      </c>
      <c r="E25" s="38">
        <v>2354</v>
      </c>
      <c r="F25" s="38">
        <v>65.846999999999994</v>
      </c>
      <c r="H25" s="53">
        <v>2376</v>
      </c>
      <c r="I25" s="53">
        <v>63.469000000000001</v>
      </c>
      <c r="K25" s="53">
        <v>2588</v>
      </c>
      <c r="L25" s="53">
        <v>65.094999999999999</v>
      </c>
      <c r="N25" s="53">
        <v>2826</v>
      </c>
      <c r="O25" s="53">
        <v>64.765000000000001</v>
      </c>
      <c r="P25" s="13" t="s">
        <v>234</v>
      </c>
      <c r="Q25" s="40">
        <v>2844</v>
      </c>
      <c r="R25" s="40">
        <v>64.834999999999994</v>
      </c>
      <c r="Z25" s="53">
        <v>2750</v>
      </c>
      <c r="AA25" s="53">
        <v>62.686</v>
      </c>
      <c r="AC25" s="53">
        <v>2332</v>
      </c>
      <c r="AD25" s="53">
        <v>67.989000000000004</v>
      </c>
      <c r="AF25" s="53">
        <v>2815</v>
      </c>
      <c r="AG25" s="53">
        <v>59.158999999999999</v>
      </c>
      <c r="AI25" s="53">
        <v>2197</v>
      </c>
      <c r="AJ25" s="53">
        <v>72.561999999999998</v>
      </c>
      <c r="AL25" s="53">
        <v>2563</v>
      </c>
      <c r="AM25" s="53">
        <v>71.683999999999997</v>
      </c>
      <c r="AO25" s="53">
        <v>2224</v>
      </c>
      <c r="AP25" s="53">
        <v>72.316999999999993</v>
      </c>
      <c r="AU25" s="38">
        <f t="shared" si="0"/>
        <v>2224</v>
      </c>
      <c r="AV25" s="53">
        <v>75.632000000000005</v>
      </c>
      <c r="AX25" s="38">
        <v>2382</v>
      </c>
      <c r="AY25" s="53">
        <v>63.124000000000002</v>
      </c>
      <c r="BA25" s="38">
        <v>2243</v>
      </c>
      <c r="BB25" s="53">
        <v>64.838999999999999</v>
      </c>
    </row>
    <row r="26" spans="2:54" x14ac:dyDescent="0.35">
      <c r="B26" s="38">
        <v>2605</v>
      </c>
      <c r="C26" s="38">
        <v>67.248000000000005</v>
      </c>
      <c r="E26" s="38">
        <v>2450</v>
      </c>
      <c r="F26" s="38">
        <v>65.215999999999994</v>
      </c>
      <c r="H26" s="53">
        <v>2472</v>
      </c>
      <c r="I26" s="53">
        <v>63.731000000000002</v>
      </c>
      <c r="K26" s="53">
        <v>2683</v>
      </c>
      <c r="L26" s="53">
        <v>65.117000000000004</v>
      </c>
      <c r="N26" s="53">
        <v>2914</v>
      </c>
      <c r="O26" s="53">
        <v>64.715999999999994</v>
      </c>
      <c r="Y26" s="19" t="s">
        <v>234</v>
      </c>
      <c r="Z26" s="39">
        <v>3025</v>
      </c>
      <c r="AA26" s="39">
        <v>64.662000000000006</v>
      </c>
      <c r="AC26" s="53">
        <v>2427</v>
      </c>
      <c r="AD26" s="53">
        <v>66.453000000000003</v>
      </c>
      <c r="AF26" s="53">
        <v>2914</v>
      </c>
      <c r="AG26" s="53">
        <v>58.99</v>
      </c>
      <c r="AI26" s="53">
        <v>2289</v>
      </c>
      <c r="AJ26" s="53">
        <v>72.992000000000004</v>
      </c>
      <c r="AL26" s="53">
        <v>2659</v>
      </c>
      <c r="AM26" s="53">
        <v>71.022000000000006</v>
      </c>
      <c r="AO26" s="53">
        <v>2322</v>
      </c>
      <c r="AP26" s="53">
        <v>71.924000000000007</v>
      </c>
      <c r="AU26" s="38">
        <f t="shared" si="0"/>
        <v>2339</v>
      </c>
      <c r="AV26" s="53">
        <v>75.251000000000005</v>
      </c>
      <c r="AX26" s="38">
        <v>2470</v>
      </c>
      <c r="AY26" s="53">
        <v>63.118000000000002</v>
      </c>
      <c r="BA26" s="38">
        <v>2337</v>
      </c>
      <c r="BB26" s="53">
        <v>64.146000000000001</v>
      </c>
    </row>
    <row r="27" spans="2:54" x14ac:dyDescent="0.35">
      <c r="B27" s="38">
        <v>2703</v>
      </c>
      <c r="C27" s="38">
        <v>67.47</v>
      </c>
      <c r="E27" s="38">
        <v>2543</v>
      </c>
      <c r="F27" s="38">
        <v>65.903000000000006</v>
      </c>
      <c r="H27" s="53">
        <v>2568</v>
      </c>
      <c r="I27" s="53">
        <v>64.528000000000006</v>
      </c>
      <c r="K27" s="53">
        <v>2764</v>
      </c>
      <c r="L27" s="53">
        <v>64.75</v>
      </c>
      <c r="N27" s="53">
        <v>3007</v>
      </c>
      <c r="O27" s="53">
        <v>64.771000000000001</v>
      </c>
      <c r="AC27" s="53">
        <v>2519</v>
      </c>
      <c r="AD27" s="53">
        <v>65.929000000000002</v>
      </c>
      <c r="AF27" s="53">
        <v>3012</v>
      </c>
      <c r="AG27" s="53">
        <v>60.222999999999999</v>
      </c>
      <c r="AI27" s="53">
        <v>2376</v>
      </c>
      <c r="AJ27" s="53">
        <v>72.296000000000006</v>
      </c>
      <c r="AL27" s="53">
        <v>2752</v>
      </c>
      <c r="AM27" s="53">
        <v>70.210999999999999</v>
      </c>
      <c r="AO27" s="53">
        <v>2412</v>
      </c>
      <c r="AP27" s="53">
        <v>70.978999999999999</v>
      </c>
      <c r="AU27" s="38">
        <f t="shared" si="0"/>
        <v>2469</v>
      </c>
      <c r="AV27" s="53">
        <v>74.962000000000003</v>
      </c>
      <c r="AX27" s="38">
        <v>2569</v>
      </c>
      <c r="AY27" s="53">
        <v>63.116999999999997</v>
      </c>
      <c r="BA27" s="38">
        <v>2447</v>
      </c>
      <c r="BB27" s="53">
        <v>63.084000000000003</v>
      </c>
    </row>
    <row r="28" spans="2:54" x14ac:dyDescent="0.35">
      <c r="B28" s="38">
        <v>2813</v>
      </c>
      <c r="C28" s="38">
        <v>67.540999999999997</v>
      </c>
      <c r="E28" s="38">
        <v>2633</v>
      </c>
      <c r="F28" s="38">
        <v>65.456000000000003</v>
      </c>
      <c r="H28" s="38">
        <v>2661</v>
      </c>
      <c r="I28" s="53">
        <v>64.341999999999999</v>
      </c>
      <c r="K28" s="53">
        <v>2863</v>
      </c>
      <c r="L28" s="53">
        <v>63.186999999999998</v>
      </c>
      <c r="N28" s="53">
        <v>3098</v>
      </c>
      <c r="O28" s="53">
        <v>64.555000000000007</v>
      </c>
      <c r="AC28" s="53">
        <v>2612</v>
      </c>
      <c r="AD28" s="53">
        <v>65.364999999999995</v>
      </c>
      <c r="AF28" s="53">
        <v>3106</v>
      </c>
      <c r="AG28" s="53">
        <v>61.149000000000001</v>
      </c>
      <c r="AI28" s="53">
        <v>2484</v>
      </c>
      <c r="AJ28" s="53">
        <v>72.007000000000005</v>
      </c>
      <c r="AL28" s="53">
        <v>2839</v>
      </c>
      <c r="AM28" s="53">
        <v>70.099999999999994</v>
      </c>
      <c r="AO28" s="53">
        <v>2520</v>
      </c>
      <c r="AP28" s="53">
        <v>71.507999999999996</v>
      </c>
      <c r="AU28" s="38">
        <f t="shared" si="0"/>
        <v>2535</v>
      </c>
      <c r="AV28" s="53">
        <v>75.302999999999997</v>
      </c>
      <c r="AX28" s="38">
        <v>2671</v>
      </c>
      <c r="AY28" s="53">
        <v>63.267000000000003</v>
      </c>
      <c r="BA28" s="38">
        <v>2551</v>
      </c>
      <c r="BB28" s="53">
        <v>63.514000000000003</v>
      </c>
    </row>
    <row r="29" spans="2:54" x14ac:dyDescent="0.35">
      <c r="B29" s="38">
        <v>2930</v>
      </c>
      <c r="C29" s="38">
        <v>67.421999999999997</v>
      </c>
      <c r="E29" s="38">
        <v>2721</v>
      </c>
      <c r="F29" s="38">
        <v>66.843000000000004</v>
      </c>
      <c r="H29" s="38">
        <v>2744</v>
      </c>
      <c r="I29" s="53">
        <v>64.085999999999999</v>
      </c>
      <c r="K29" s="53">
        <v>2964</v>
      </c>
      <c r="L29" s="53">
        <v>64.838999999999999</v>
      </c>
      <c r="N29" s="53">
        <v>3294</v>
      </c>
      <c r="O29" s="53">
        <v>65.677999999999997</v>
      </c>
      <c r="AC29" s="53">
        <v>2699</v>
      </c>
      <c r="AD29" s="53">
        <v>66.619</v>
      </c>
      <c r="AF29" s="53">
        <v>3232</v>
      </c>
      <c r="AG29" s="53">
        <v>60.395000000000003</v>
      </c>
      <c r="AI29" s="53">
        <v>2578</v>
      </c>
      <c r="AJ29" s="53">
        <v>71.206000000000003</v>
      </c>
      <c r="AL29" s="53">
        <v>2937</v>
      </c>
      <c r="AM29" s="53">
        <v>70.311000000000007</v>
      </c>
      <c r="AO29" s="53">
        <v>2622</v>
      </c>
      <c r="AP29" s="53">
        <v>70.784999999999997</v>
      </c>
      <c r="AU29" s="38">
        <f t="shared" si="0"/>
        <v>2708</v>
      </c>
      <c r="AV29" s="53">
        <v>75.781000000000006</v>
      </c>
      <c r="AX29" s="38">
        <v>2768</v>
      </c>
      <c r="AY29" s="53">
        <v>63.207000000000001</v>
      </c>
      <c r="BA29" s="38">
        <v>2667</v>
      </c>
      <c r="BB29" s="53">
        <v>63.414000000000001</v>
      </c>
    </row>
    <row r="30" spans="2:54" x14ac:dyDescent="0.35">
      <c r="B30" s="38">
        <v>3027</v>
      </c>
      <c r="C30" s="38">
        <v>67.222999999999999</v>
      </c>
      <c r="E30" s="38">
        <v>2823</v>
      </c>
      <c r="F30" s="38">
        <v>67.244</v>
      </c>
      <c r="H30" s="38">
        <v>2839</v>
      </c>
      <c r="I30" s="53">
        <v>65.144000000000005</v>
      </c>
      <c r="K30" s="53">
        <v>3058</v>
      </c>
      <c r="L30" s="53">
        <v>64.146000000000001</v>
      </c>
      <c r="N30" s="53">
        <v>3391</v>
      </c>
      <c r="O30" s="53">
        <v>63.665999999999997</v>
      </c>
      <c r="AC30" s="53">
        <v>2776</v>
      </c>
      <c r="AD30" s="53">
        <v>66.489000000000004</v>
      </c>
      <c r="AF30" s="53">
        <v>3350</v>
      </c>
      <c r="AG30" s="53">
        <v>62.268000000000001</v>
      </c>
      <c r="AI30" s="53">
        <v>2669</v>
      </c>
      <c r="AJ30" s="53">
        <v>71.087000000000003</v>
      </c>
      <c r="AL30" s="53">
        <v>3027</v>
      </c>
      <c r="AM30" s="53">
        <v>70.183999999999997</v>
      </c>
      <c r="AO30" s="53">
        <v>2723</v>
      </c>
      <c r="AP30" s="53">
        <v>70.117999999999995</v>
      </c>
      <c r="AU30" s="38">
        <f t="shared" si="0"/>
        <v>2813</v>
      </c>
      <c r="AV30" s="53">
        <v>75.067999999999998</v>
      </c>
      <c r="AX30" s="38">
        <v>2880</v>
      </c>
      <c r="AY30" s="53">
        <v>64.778000000000006</v>
      </c>
      <c r="BA30" s="38">
        <v>2775</v>
      </c>
      <c r="BB30" s="53">
        <v>63.021000000000001</v>
      </c>
    </row>
    <row r="31" spans="2:54" x14ac:dyDescent="0.35">
      <c r="B31" s="38">
        <v>3139</v>
      </c>
      <c r="C31" s="38">
        <v>66.551000000000002</v>
      </c>
      <c r="E31" s="38">
        <v>2923</v>
      </c>
      <c r="F31" s="38">
        <v>65.974999999999994</v>
      </c>
      <c r="H31" s="38">
        <v>2941</v>
      </c>
      <c r="I31" s="53">
        <v>65.387</v>
      </c>
      <c r="K31" s="53">
        <v>3168</v>
      </c>
      <c r="L31" s="53">
        <v>63.084000000000003</v>
      </c>
      <c r="N31" s="53">
        <v>3486</v>
      </c>
      <c r="O31" s="53">
        <v>64.103999999999999</v>
      </c>
      <c r="AC31" s="53">
        <v>2886</v>
      </c>
      <c r="AD31" s="53">
        <v>65.162999999999997</v>
      </c>
      <c r="AF31" s="53">
        <v>3550</v>
      </c>
      <c r="AG31" s="53">
        <v>63.359000000000002</v>
      </c>
      <c r="AI31" s="53">
        <v>2756</v>
      </c>
      <c r="AJ31" s="53">
        <v>72.260000000000005</v>
      </c>
      <c r="AL31" s="53">
        <v>3130</v>
      </c>
      <c r="AM31" s="53">
        <v>70.058000000000007</v>
      </c>
      <c r="AO31" s="53">
        <v>2816</v>
      </c>
      <c r="AP31" s="53">
        <v>70.293999999999997</v>
      </c>
      <c r="AU31" s="38">
        <f t="shared" si="0"/>
        <v>2919</v>
      </c>
      <c r="AV31" s="53">
        <v>73.846000000000004</v>
      </c>
      <c r="AX31" s="38">
        <v>3120</v>
      </c>
      <c r="AY31" s="53">
        <v>62.875999999999998</v>
      </c>
      <c r="BA31" s="38">
        <v>2884</v>
      </c>
      <c r="BB31" s="53">
        <v>62.927</v>
      </c>
    </row>
    <row r="32" spans="2:54" x14ac:dyDescent="0.35">
      <c r="B32" s="38">
        <v>3236</v>
      </c>
      <c r="C32" s="38">
        <v>66.575999999999993</v>
      </c>
      <c r="E32" s="38">
        <v>3020</v>
      </c>
      <c r="F32" s="38">
        <v>65.94</v>
      </c>
      <c r="H32" s="38">
        <v>3026</v>
      </c>
      <c r="I32" s="53">
        <v>65.793000000000006</v>
      </c>
      <c r="K32" s="53">
        <v>3272</v>
      </c>
      <c r="L32" s="53">
        <v>63.514000000000003</v>
      </c>
      <c r="N32" s="53">
        <v>3586</v>
      </c>
      <c r="O32" s="53">
        <v>63.667000000000002</v>
      </c>
      <c r="AC32" s="53">
        <v>3008</v>
      </c>
      <c r="AD32" s="53">
        <v>65.369</v>
      </c>
      <c r="AF32" s="53">
        <v>3668</v>
      </c>
      <c r="AG32" s="53">
        <v>62.987000000000002</v>
      </c>
      <c r="AI32" s="53">
        <v>2938</v>
      </c>
      <c r="AJ32" s="53">
        <v>71.557000000000002</v>
      </c>
      <c r="AL32" s="53">
        <v>3235</v>
      </c>
      <c r="AM32" s="53">
        <v>69.504999999999995</v>
      </c>
      <c r="AO32" s="53">
        <v>3040</v>
      </c>
      <c r="AP32" s="53">
        <v>69.813999999999993</v>
      </c>
      <c r="AU32" s="38">
        <f t="shared" si="0"/>
        <v>3019</v>
      </c>
      <c r="AV32" s="53">
        <v>73.599999999999994</v>
      </c>
      <c r="AX32" s="38">
        <v>3207</v>
      </c>
      <c r="AY32" s="53">
        <v>62.95</v>
      </c>
      <c r="BA32" s="38">
        <v>2989</v>
      </c>
      <c r="BB32" s="53">
        <v>62.576999999999998</v>
      </c>
    </row>
    <row r="33" spans="2:54" x14ac:dyDescent="0.35">
      <c r="B33" s="38">
        <v>3319</v>
      </c>
      <c r="C33" s="38">
        <v>66.745999999999995</v>
      </c>
      <c r="E33" s="38">
        <v>3113</v>
      </c>
      <c r="F33" s="38">
        <v>65.427999999999997</v>
      </c>
      <c r="H33" s="38">
        <v>3112</v>
      </c>
      <c r="I33" s="53">
        <v>65.132999999999996</v>
      </c>
      <c r="K33" s="53">
        <v>3388</v>
      </c>
      <c r="L33" s="53">
        <v>63.414000000000001</v>
      </c>
      <c r="N33" s="53">
        <v>3682</v>
      </c>
      <c r="O33" s="53">
        <v>62.396000000000001</v>
      </c>
      <c r="AC33" s="53">
        <v>3089</v>
      </c>
      <c r="AD33" s="53">
        <v>65.331999999999994</v>
      </c>
      <c r="AF33" s="53">
        <v>3876</v>
      </c>
      <c r="AG33" s="53">
        <v>62.154000000000003</v>
      </c>
      <c r="AI33" s="53">
        <v>3029</v>
      </c>
      <c r="AJ33" s="53">
        <v>71.831000000000003</v>
      </c>
      <c r="AL33" s="53">
        <v>3317</v>
      </c>
      <c r="AM33" s="53">
        <v>68.373999999999995</v>
      </c>
      <c r="AO33" s="53">
        <v>3139</v>
      </c>
      <c r="AP33" s="53">
        <v>70.045000000000002</v>
      </c>
      <c r="AU33" s="38">
        <f t="shared" si="0"/>
        <v>3117</v>
      </c>
      <c r="AV33" s="53">
        <v>74.197000000000003</v>
      </c>
      <c r="AX33" s="38">
        <v>3302</v>
      </c>
      <c r="AY33" s="53">
        <v>62.972000000000001</v>
      </c>
      <c r="BA33" s="38">
        <v>3096</v>
      </c>
      <c r="BB33" s="53">
        <v>62.646000000000001</v>
      </c>
    </row>
    <row r="34" spans="2:54" x14ac:dyDescent="0.35">
      <c r="B34" s="38">
        <v>3419</v>
      </c>
      <c r="C34" s="38">
        <v>65.572000000000003</v>
      </c>
      <c r="E34" s="38">
        <v>3222</v>
      </c>
      <c r="F34" s="38">
        <v>66.308000000000007</v>
      </c>
      <c r="H34" s="38">
        <v>3208</v>
      </c>
      <c r="I34" s="53">
        <v>64.17</v>
      </c>
      <c r="K34" s="53">
        <v>3496</v>
      </c>
      <c r="L34" s="53">
        <v>63.021000000000001</v>
      </c>
      <c r="N34" s="53">
        <v>3778</v>
      </c>
      <c r="O34" s="53">
        <v>63.335999999999999</v>
      </c>
      <c r="AC34" s="53">
        <v>3176</v>
      </c>
      <c r="AD34" s="53">
        <v>64.915999999999997</v>
      </c>
      <c r="AF34" s="53">
        <v>3983</v>
      </c>
      <c r="AG34" s="53">
        <v>62.783999999999999</v>
      </c>
      <c r="AI34" s="53">
        <v>3119</v>
      </c>
      <c r="AJ34" s="53">
        <v>71.611999999999995</v>
      </c>
      <c r="AL34" s="53">
        <v>3423</v>
      </c>
      <c r="AM34" s="53">
        <v>68.843999999999994</v>
      </c>
      <c r="AO34" s="53">
        <v>3254</v>
      </c>
      <c r="AP34" s="53">
        <v>68.864000000000004</v>
      </c>
      <c r="AU34" s="38">
        <f t="shared" si="0"/>
        <v>3223</v>
      </c>
      <c r="AV34" s="53">
        <v>73.881</v>
      </c>
      <c r="AX34" s="38">
        <v>3399</v>
      </c>
      <c r="AY34" s="53">
        <v>63.122</v>
      </c>
      <c r="BA34" s="38">
        <v>3187</v>
      </c>
      <c r="BB34" s="53">
        <v>61.890999999999998</v>
      </c>
    </row>
    <row r="35" spans="2:54" x14ac:dyDescent="0.35">
      <c r="B35" s="38">
        <v>3527</v>
      </c>
      <c r="C35" s="38">
        <v>64.95</v>
      </c>
      <c r="E35" s="38">
        <v>3339</v>
      </c>
      <c r="F35" s="38">
        <v>65.364000000000004</v>
      </c>
      <c r="H35" s="38">
        <v>3410</v>
      </c>
      <c r="I35" s="53">
        <v>63.811</v>
      </c>
      <c r="K35" s="53">
        <v>3605</v>
      </c>
      <c r="L35" s="53">
        <v>62.927</v>
      </c>
      <c r="N35" s="53">
        <v>3969</v>
      </c>
      <c r="O35" s="53">
        <v>64.778000000000006</v>
      </c>
      <c r="AB35" s="13" t="s">
        <v>240</v>
      </c>
      <c r="AC35" s="40">
        <v>3239</v>
      </c>
      <c r="AD35" s="40">
        <v>64.721999999999994</v>
      </c>
      <c r="AF35" s="53">
        <v>4203</v>
      </c>
      <c r="AG35" s="53">
        <v>62.84</v>
      </c>
      <c r="AI35" s="53">
        <v>3198</v>
      </c>
      <c r="AJ35" s="53">
        <v>71.334000000000003</v>
      </c>
      <c r="AL35" s="53">
        <v>3537</v>
      </c>
      <c r="AM35" s="53">
        <v>69.081000000000003</v>
      </c>
      <c r="AO35" s="53">
        <v>3369</v>
      </c>
      <c r="AP35" s="53">
        <v>69.12</v>
      </c>
      <c r="AU35" s="38">
        <f t="shared" si="0"/>
        <v>3313</v>
      </c>
      <c r="AV35" s="53">
        <v>73.498000000000005</v>
      </c>
      <c r="AX35" s="38">
        <v>3492</v>
      </c>
      <c r="AY35" s="53">
        <v>63.469000000000001</v>
      </c>
      <c r="BA35" s="38">
        <v>3275</v>
      </c>
      <c r="BB35" s="53">
        <v>61.695999999999998</v>
      </c>
    </row>
    <row r="36" spans="2:54" x14ac:dyDescent="0.35">
      <c r="B36" s="38">
        <v>3633</v>
      </c>
      <c r="C36" s="38">
        <v>65.590999999999994</v>
      </c>
      <c r="E36" s="38">
        <v>3448</v>
      </c>
      <c r="F36" s="38">
        <v>64.629000000000005</v>
      </c>
      <c r="H36" s="38">
        <v>3509</v>
      </c>
      <c r="I36" s="53">
        <v>65.444999999999993</v>
      </c>
      <c r="K36" s="53">
        <v>3710</v>
      </c>
      <c r="L36" s="53">
        <v>62.576999999999998</v>
      </c>
      <c r="M36" s="19" t="s">
        <v>234</v>
      </c>
      <c r="N36" s="39">
        <v>4067</v>
      </c>
      <c r="O36" s="39">
        <v>63.89</v>
      </c>
      <c r="AC36" s="53">
        <v>3285</v>
      </c>
      <c r="AD36" s="53">
        <v>64.052999999999997</v>
      </c>
      <c r="AF36" s="53">
        <v>4303</v>
      </c>
      <c r="AG36" s="53">
        <v>62.651000000000003</v>
      </c>
      <c r="AI36" s="53">
        <v>3480</v>
      </c>
      <c r="AJ36" s="53">
        <v>71.643000000000001</v>
      </c>
      <c r="AL36" s="53">
        <v>3639</v>
      </c>
      <c r="AM36" s="53">
        <v>68.992999999999995</v>
      </c>
      <c r="AO36" s="53">
        <v>3475</v>
      </c>
      <c r="AP36" s="53">
        <v>67.927000000000007</v>
      </c>
      <c r="AU36" s="38">
        <f t="shared" si="0"/>
        <v>3407</v>
      </c>
      <c r="AV36" s="53">
        <v>73.293000000000006</v>
      </c>
      <c r="AX36" s="38">
        <v>3588</v>
      </c>
      <c r="AY36" s="53">
        <v>63.731000000000002</v>
      </c>
      <c r="BA36" s="38">
        <v>3359</v>
      </c>
      <c r="BB36" s="53">
        <v>63.201000000000001</v>
      </c>
    </row>
    <row r="37" spans="2:54" x14ac:dyDescent="0.35">
      <c r="B37" s="38">
        <v>3728</v>
      </c>
      <c r="C37" s="38">
        <v>65.643000000000001</v>
      </c>
      <c r="E37" s="38">
        <v>3555</v>
      </c>
      <c r="F37" s="38">
        <v>65.040999999999997</v>
      </c>
      <c r="H37" s="38">
        <v>3714</v>
      </c>
      <c r="I37" s="53">
        <v>64.442999999999998</v>
      </c>
      <c r="K37" s="53">
        <v>3817</v>
      </c>
      <c r="L37" s="53">
        <v>62.646000000000001</v>
      </c>
      <c r="AC37" s="53">
        <v>3366</v>
      </c>
      <c r="AD37" s="53">
        <v>64.305999999999997</v>
      </c>
      <c r="AE37" s="19" t="s">
        <v>245</v>
      </c>
      <c r="AF37" s="9">
        <v>4398</v>
      </c>
      <c r="AG37" s="9">
        <v>63.234000000000002</v>
      </c>
      <c r="AI37" s="53">
        <v>3660</v>
      </c>
      <c r="AJ37" s="53">
        <v>71.22</v>
      </c>
      <c r="AL37" s="53">
        <v>3738</v>
      </c>
      <c r="AM37" s="53">
        <v>68.436000000000007</v>
      </c>
      <c r="AO37" s="53">
        <v>3583</v>
      </c>
      <c r="AP37" s="53">
        <v>67.236000000000004</v>
      </c>
      <c r="AU37" s="38">
        <f t="shared" si="0"/>
        <v>3502</v>
      </c>
      <c r="AV37" s="53">
        <v>72.918999999999997</v>
      </c>
      <c r="AX37" s="38">
        <v>3684</v>
      </c>
      <c r="AY37" s="53">
        <v>64.528000000000006</v>
      </c>
      <c r="BA37" s="38">
        <v>3559</v>
      </c>
      <c r="BB37" s="53">
        <v>63.219000000000001</v>
      </c>
    </row>
    <row r="38" spans="2:54" x14ac:dyDescent="0.35">
      <c r="B38" s="38">
        <v>3831</v>
      </c>
      <c r="C38" s="38">
        <v>65.239000000000004</v>
      </c>
      <c r="E38" s="38">
        <v>3671</v>
      </c>
      <c r="F38" s="38">
        <v>64.897999999999996</v>
      </c>
      <c r="H38" s="38">
        <v>3807</v>
      </c>
      <c r="I38" s="53">
        <v>64.777000000000001</v>
      </c>
      <c r="K38" s="53">
        <v>3908</v>
      </c>
      <c r="L38" s="53">
        <v>61.890999999999998</v>
      </c>
      <c r="AC38" s="53">
        <v>3453</v>
      </c>
      <c r="AD38" s="53">
        <v>64.430999999999997</v>
      </c>
      <c r="AE38" s="19" t="s">
        <v>234</v>
      </c>
      <c r="AF38" s="39">
        <v>4481</v>
      </c>
      <c r="AG38" s="39">
        <v>64.834999999999994</v>
      </c>
      <c r="AI38" s="53">
        <v>3746</v>
      </c>
      <c r="AJ38" s="53">
        <v>70.344999999999999</v>
      </c>
      <c r="AL38" s="53">
        <v>3845</v>
      </c>
      <c r="AM38" s="53">
        <v>67.600999999999999</v>
      </c>
      <c r="AO38" s="53">
        <v>3696</v>
      </c>
      <c r="AP38" s="53">
        <v>67.085999999999999</v>
      </c>
      <c r="AU38" s="38">
        <f t="shared" si="0"/>
        <v>3611</v>
      </c>
      <c r="AV38" s="53">
        <v>72.561999999999998</v>
      </c>
      <c r="AX38" s="38">
        <v>3777</v>
      </c>
      <c r="AY38" s="53">
        <v>64.341999999999999</v>
      </c>
      <c r="BA38" s="38">
        <v>3655</v>
      </c>
      <c r="BB38" s="53">
        <v>63.942999999999998</v>
      </c>
    </row>
    <row r="39" spans="2:54" x14ac:dyDescent="0.35">
      <c r="B39" s="38">
        <v>4043</v>
      </c>
      <c r="C39" s="38">
        <v>67.001999999999995</v>
      </c>
      <c r="E39" s="38">
        <v>3774</v>
      </c>
      <c r="F39" s="38">
        <v>64.8</v>
      </c>
      <c r="H39" s="38">
        <v>3895</v>
      </c>
      <c r="I39" s="53">
        <v>64.28</v>
      </c>
      <c r="K39" s="53">
        <v>3996</v>
      </c>
      <c r="L39" s="53">
        <v>61.695999999999998</v>
      </c>
      <c r="AC39" s="53">
        <v>3577</v>
      </c>
      <c r="AD39" s="53">
        <v>63.38</v>
      </c>
      <c r="AI39" s="53">
        <v>3835</v>
      </c>
      <c r="AJ39" s="53">
        <v>69.77</v>
      </c>
      <c r="AL39" s="53">
        <v>3941</v>
      </c>
      <c r="AM39" s="53">
        <v>68.046999999999997</v>
      </c>
      <c r="AO39" s="53">
        <v>3794</v>
      </c>
      <c r="AP39" s="53">
        <v>67.912000000000006</v>
      </c>
      <c r="AU39" s="38">
        <f t="shared" si="0"/>
        <v>3703</v>
      </c>
      <c r="AV39" s="53">
        <v>72.992000000000004</v>
      </c>
      <c r="AX39" s="38">
        <v>3860</v>
      </c>
      <c r="AY39" s="53">
        <v>64.085999999999999</v>
      </c>
      <c r="BA39" s="38">
        <v>3758</v>
      </c>
      <c r="BB39" s="53">
        <v>63.16</v>
      </c>
    </row>
    <row r="40" spans="2:54" x14ac:dyDescent="0.35">
      <c r="B40" s="38">
        <v>4153</v>
      </c>
      <c r="C40" s="38">
        <v>67.378</v>
      </c>
      <c r="E40" s="38">
        <v>3879</v>
      </c>
      <c r="F40" s="38">
        <v>64.427000000000007</v>
      </c>
      <c r="H40" s="38">
        <v>3977</v>
      </c>
      <c r="I40" s="53">
        <v>64.706000000000003</v>
      </c>
      <c r="K40" s="53">
        <v>4080</v>
      </c>
      <c r="L40" s="53">
        <v>63.201000000000001</v>
      </c>
      <c r="AC40" s="53">
        <v>3710</v>
      </c>
      <c r="AD40" s="53">
        <v>64.090999999999994</v>
      </c>
      <c r="AI40" s="53">
        <v>3926</v>
      </c>
      <c r="AJ40" s="53">
        <v>69.884</v>
      </c>
      <c r="AL40" s="53">
        <v>4048</v>
      </c>
      <c r="AM40" s="53">
        <v>67.965999999999994</v>
      </c>
      <c r="AO40" s="53">
        <v>3901</v>
      </c>
      <c r="AP40" s="53">
        <v>66.712000000000003</v>
      </c>
      <c r="AU40" s="38">
        <f t="shared" si="0"/>
        <v>3790</v>
      </c>
      <c r="AV40" s="53">
        <v>72.296000000000006</v>
      </c>
      <c r="AX40" s="38">
        <v>3955</v>
      </c>
      <c r="AY40" s="53">
        <v>65.144000000000005</v>
      </c>
      <c r="BA40" s="38">
        <v>3863</v>
      </c>
      <c r="BB40" s="53">
        <v>62.853999999999999</v>
      </c>
    </row>
    <row r="41" spans="2:54" x14ac:dyDescent="0.35">
      <c r="B41" s="38">
        <v>4254</v>
      </c>
      <c r="C41" s="38">
        <v>66.87</v>
      </c>
      <c r="E41" s="38">
        <v>3983</v>
      </c>
      <c r="F41" s="38">
        <v>63.857999999999997</v>
      </c>
      <c r="H41" s="38">
        <v>4071</v>
      </c>
      <c r="I41" s="53">
        <v>63.164999999999999</v>
      </c>
      <c r="K41" s="53">
        <v>4280</v>
      </c>
      <c r="L41" s="53">
        <v>63.219000000000001</v>
      </c>
      <c r="AC41" s="53">
        <v>3827</v>
      </c>
      <c r="AD41" s="53">
        <v>62.326999999999998</v>
      </c>
      <c r="AI41" s="53">
        <v>4010</v>
      </c>
      <c r="AJ41" s="53">
        <v>69.671999999999997</v>
      </c>
      <c r="AL41" s="53">
        <v>4146</v>
      </c>
      <c r="AM41" s="53">
        <v>67.376000000000005</v>
      </c>
      <c r="AO41" s="53">
        <v>4018</v>
      </c>
      <c r="AP41" s="53">
        <v>67.566999999999993</v>
      </c>
      <c r="AU41" s="38">
        <f t="shared" si="0"/>
        <v>3898</v>
      </c>
      <c r="AV41" s="53">
        <v>72.007000000000005</v>
      </c>
      <c r="AX41" s="38">
        <v>4057</v>
      </c>
      <c r="AY41" s="53">
        <v>65.387</v>
      </c>
      <c r="BA41" s="38">
        <v>4072</v>
      </c>
      <c r="BB41" s="53">
        <v>62.018999999999998</v>
      </c>
    </row>
    <row r="42" spans="2:54" x14ac:dyDescent="0.35">
      <c r="B42" s="38">
        <v>4366</v>
      </c>
      <c r="C42" s="38">
        <v>63.445999999999998</v>
      </c>
      <c r="E42" s="38">
        <v>4098</v>
      </c>
      <c r="F42" s="38">
        <v>64.061999999999998</v>
      </c>
      <c r="H42" s="38">
        <v>4154</v>
      </c>
      <c r="I42" s="53">
        <v>67.287999999999997</v>
      </c>
      <c r="K42" s="53">
        <v>4376</v>
      </c>
      <c r="L42" s="53">
        <v>63.942999999999998</v>
      </c>
      <c r="AC42" s="53">
        <v>3910</v>
      </c>
      <c r="AD42" s="53">
        <v>62.915999999999997</v>
      </c>
      <c r="AI42" s="53">
        <v>4121</v>
      </c>
      <c r="AJ42" s="53">
        <v>68.926000000000002</v>
      </c>
      <c r="AL42" s="53">
        <v>4260</v>
      </c>
      <c r="AM42" s="53">
        <v>67.558000000000007</v>
      </c>
      <c r="AO42" s="53">
        <v>4126</v>
      </c>
      <c r="AP42" s="53">
        <v>65.906000000000006</v>
      </c>
      <c r="AU42" s="38">
        <f t="shared" si="0"/>
        <v>3992</v>
      </c>
      <c r="AV42" s="53">
        <v>71.206000000000003</v>
      </c>
      <c r="AX42" s="38">
        <v>4142</v>
      </c>
      <c r="AY42" s="53">
        <v>65.793000000000006</v>
      </c>
      <c r="BA42" s="38">
        <v>4171</v>
      </c>
      <c r="BB42" s="53">
        <v>62.072000000000003</v>
      </c>
    </row>
    <row r="43" spans="2:54" x14ac:dyDescent="0.35">
      <c r="B43" s="38">
        <v>4478</v>
      </c>
      <c r="C43" s="38">
        <v>63.581000000000003</v>
      </c>
      <c r="E43" s="38">
        <v>4187</v>
      </c>
      <c r="F43" s="38">
        <v>64.73</v>
      </c>
      <c r="H43" s="38">
        <v>4247</v>
      </c>
      <c r="I43" s="53">
        <v>66.626000000000005</v>
      </c>
      <c r="K43" s="53">
        <v>4479</v>
      </c>
      <c r="L43" s="53">
        <v>63.16</v>
      </c>
      <c r="AB43" s="13" t="s">
        <v>241</v>
      </c>
      <c r="AC43" s="40">
        <v>3998</v>
      </c>
      <c r="AD43" s="40">
        <v>60.826999999999998</v>
      </c>
      <c r="AI43" s="53">
        <v>4216</v>
      </c>
      <c r="AJ43" s="53">
        <v>68.844999999999999</v>
      </c>
      <c r="AL43" s="53">
        <v>4498</v>
      </c>
      <c r="AM43" s="53">
        <v>66.570999999999998</v>
      </c>
      <c r="AO43" s="53">
        <v>4221</v>
      </c>
      <c r="AP43" s="53">
        <v>66.858999999999995</v>
      </c>
      <c r="AU43" s="38">
        <f t="shared" si="0"/>
        <v>4083</v>
      </c>
      <c r="AV43" s="53">
        <v>71.087000000000003</v>
      </c>
      <c r="AX43" s="38">
        <v>4228</v>
      </c>
      <c r="AY43" s="53">
        <v>65.132999999999996</v>
      </c>
      <c r="BA43" s="38">
        <v>4286</v>
      </c>
      <c r="BB43" s="53">
        <v>63.965000000000003</v>
      </c>
    </row>
    <row r="44" spans="2:54" x14ac:dyDescent="0.35">
      <c r="B44" s="38">
        <v>4574</v>
      </c>
      <c r="C44" s="38">
        <v>65.168999999999997</v>
      </c>
      <c r="E44" s="38">
        <v>4273</v>
      </c>
      <c r="F44" s="38">
        <v>64.641999999999996</v>
      </c>
      <c r="H44" s="38">
        <v>4330</v>
      </c>
      <c r="I44" s="53">
        <v>65.718999999999994</v>
      </c>
      <c r="K44" s="53">
        <v>4584</v>
      </c>
      <c r="L44" s="53">
        <v>62.853999999999999</v>
      </c>
      <c r="AC44" s="53">
        <v>4198</v>
      </c>
      <c r="AD44" s="53">
        <v>63.886000000000003</v>
      </c>
      <c r="AI44" s="53">
        <v>4320</v>
      </c>
      <c r="AJ44" s="53">
        <v>67.361000000000004</v>
      </c>
      <c r="AL44" s="53">
        <v>4591</v>
      </c>
      <c r="AM44" s="53">
        <v>66.284999999999997</v>
      </c>
      <c r="AO44" s="53">
        <v>4345</v>
      </c>
      <c r="AP44" s="53">
        <v>66.418999999999997</v>
      </c>
      <c r="AU44" s="38">
        <f t="shared" si="0"/>
        <v>4170</v>
      </c>
      <c r="AV44" s="53">
        <v>72.260000000000005</v>
      </c>
      <c r="AX44" s="38">
        <v>4324</v>
      </c>
      <c r="AY44" s="53">
        <v>64.17</v>
      </c>
      <c r="BA44" s="38">
        <v>4406</v>
      </c>
      <c r="BB44" s="53">
        <v>63.508000000000003</v>
      </c>
    </row>
    <row r="45" spans="2:54" x14ac:dyDescent="0.35">
      <c r="B45" s="38">
        <v>4682</v>
      </c>
      <c r="C45" s="38">
        <v>63.649000000000001</v>
      </c>
      <c r="E45" s="38">
        <v>4381</v>
      </c>
      <c r="F45" s="38">
        <v>63.593000000000004</v>
      </c>
      <c r="H45" s="38">
        <v>4423</v>
      </c>
      <c r="I45" s="53">
        <v>64.861000000000004</v>
      </c>
      <c r="K45" s="53">
        <v>4793</v>
      </c>
      <c r="L45" s="53">
        <v>62.018999999999998</v>
      </c>
      <c r="AC45" s="53">
        <v>4441</v>
      </c>
      <c r="AD45" s="53">
        <v>59.588000000000001</v>
      </c>
      <c r="AI45" s="53">
        <v>4410</v>
      </c>
      <c r="AJ45" s="53">
        <v>67.099999999999994</v>
      </c>
      <c r="AL45" s="53">
        <v>4695</v>
      </c>
      <c r="AM45" s="53">
        <v>67.016999999999996</v>
      </c>
      <c r="AO45" s="53">
        <v>4443</v>
      </c>
      <c r="AP45" s="53">
        <v>65.900000000000006</v>
      </c>
      <c r="AU45" s="38">
        <f t="shared" si="0"/>
        <v>4352</v>
      </c>
      <c r="AV45" s="53">
        <v>71.557000000000002</v>
      </c>
      <c r="AX45" s="38">
        <v>4526</v>
      </c>
      <c r="AY45" s="53">
        <v>63.811</v>
      </c>
      <c r="BA45" s="38">
        <v>4521</v>
      </c>
      <c r="BB45" s="53">
        <v>61.758000000000003</v>
      </c>
    </row>
    <row r="46" spans="2:54" x14ac:dyDescent="0.35">
      <c r="B46" s="38">
        <v>4890</v>
      </c>
      <c r="C46" s="38">
        <v>62.67</v>
      </c>
      <c r="E46" s="38">
        <v>4487</v>
      </c>
      <c r="F46" s="38">
        <v>64.456999999999994</v>
      </c>
      <c r="H46" s="38">
        <v>4515</v>
      </c>
      <c r="I46" s="53">
        <v>64.891000000000005</v>
      </c>
      <c r="K46" s="53">
        <v>4892</v>
      </c>
      <c r="L46" s="53">
        <v>62.072000000000003</v>
      </c>
      <c r="AC46" s="53">
        <v>4551</v>
      </c>
      <c r="AD46" s="53">
        <v>62.404000000000003</v>
      </c>
      <c r="AI46" s="53">
        <v>4502</v>
      </c>
      <c r="AJ46" s="53">
        <v>66.468999999999994</v>
      </c>
      <c r="AL46" s="53">
        <v>4785</v>
      </c>
      <c r="AM46" s="53">
        <v>66.396000000000001</v>
      </c>
      <c r="AO46" s="53">
        <v>4543</v>
      </c>
      <c r="AP46" s="53">
        <v>66.146000000000001</v>
      </c>
      <c r="AU46" s="38">
        <f t="shared" si="0"/>
        <v>4443</v>
      </c>
      <c r="AV46" s="53">
        <v>71.831000000000003</v>
      </c>
      <c r="AX46" s="38">
        <v>4625</v>
      </c>
      <c r="AY46" s="53">
        <v>65.444999999999993</v>
      </c>
      <c r="AZ46" s="13" t="s">
        <v>234</v>
      </c>
      <c r="BA46" s="15">
        <v>4658</v>
      </c>
      <c r="BB46" s="15">
        <v>64.834999999999994</v>
      </c>
    </row>
    <row r="47" spans="2:54" x14ac:dyDescent="0.35">
      <c r="B47" s="38">
        <v>4993</v>
      </c>
      <c r="C47" s="38">
        <v>61.472999999999999</v>
      </c>
      <c r="E47" s="38">
        <v>4585</v>
      </c>
      <c r="F47" s="38">
        <v>64.257999999999996</v>
      </c>
      <c r="H47" s="38">
        <v>4619</v>
      </c>
      <c r="I47" s="53">
        <v>63.746000000000002</v>
      </c>
      <c r="K47" s="53">
        <v>5007</v>
      </c>
      <c r="L47" s="53">
        <v>63.965000000000003</v>
      </c>
      <c r="AC47" s="53">
        <v>4678</v>
      </c>
      <c r="AD47" s="53">
        <v>61.524999999999999</v>
      </c>
      <c r="AI47" s="53">
        <v>4597</v>
      </c>
      <c r="AJ47" s="53">
        <v>66.784000000000006</v>
      </c>
      <c r="AL47" s="53">
        <v>4874</v>
      </c>
      <c r="AM47" s="53">
        <v>66.257000000000005</v>
      </c>
      <c r="AO47" s="53">
        <v>4655</v>
      </c>
      <c r="AP47" s="53">
        <v>65.825999999999993</v>
      </c>
      <c r="AU47" s="38">
        <f t="shared" si="0"/>
        <v>4533</v>
      </c>
      <c r="AV47" s="53">
        <v>71.611999999999995</v>
      </c>
      <c r="AX47" s="38">
        <v>4830</v>
      </c>
      <c r="AY47" s="53">
        <v>64.442999999999998</v>
      </c>
      <c r="BA47" s="28"/>
    </row>
    <row r="48" spans="2:54" x14ac:dyDescent="0.35">
      <c r="B48" s="38">
        <v>5176</v>
      </c>
      <c r="C48" s="38">
        <v>63.329000000000001</v>
      </c>
      <c r="E48" s="38">
        <v>4699</v>
      </c>
      <c r="F48" s="38">
        <v>64.647000000000006</v>
      </c>
      <c r="H48" s="38">
        <v>4706</v>
      </c>
      <c r="I48" s="53">
        <v>65</v>
      </c>
      <c r="K48" s="53">
        <v>5127</v>
      </c>
      <c r="L48" s="53">
        <v>63.508000000000003</v>
      </c>
      <c r="AB48" s="13" t="s">
        <v>234</v>
      </c>
      <c r="AC48" s="40">
        <v>4835</v>
      </c>
      <c r="AD48" s="40">
        <v>64.662000000000006</v>
      </c>
      <c r="AI48" s="53">
        <v>4696</v>
      </c>
      <c r="AJ48" s="53">
        <v>65.677000000000007</v>
      </c>
      <c r="AL48" s="53">
        <v>4965</v>
      </c>
      <c r="AM48" s="53">
        <v>66.296000000000006</v>
      </c>
      <c r="AO48" s="53">
        <v>4772</v>
      </c>
      <c r="AP48" s="53">
        <v>64.447000000000003</v>
      </c>
      <c r="AU48" s="38">
        <f t="shared" si="0"/>
        <v>4612</v>
      </c>
      <c r="AV48" s="53">
        <v>71.334000000000003</v>
      </c>
      <c r="AX48" s="38">
        <v>4923</v>
      </c>
      <c r="AY48" s="53">
        <v>64.777000000000001</v>
      </c>
      <c r="BA48" s="28"/>
    </row>
    <row r="49" spans="1:53" x14ac:dyDescent="0.35">
      <c r="A49" s="19" t="s">
        <v>234</v>
      </c>
      <c r="B49" s="39">
        <v>5296</v>
      </c>
      <c r="C49" s="39">
        <v>63.89</v>
      </c>
      <c r="E49" s="38">
        <v>4811</v>
      </c>
      <c r="F49" s="38">
        <v>64.941000000000003</v>
      </c>
      <c r="H49" s="38">
        <v>4793</v>
      </c>
      <c r="I49" s="53">
        <v>65.445999999999998</v>
      </c>
      <c r="K49" s="53">
        <v>5242</v>
      </c>
      <c r="L49" s="53">
        <v>61.758000000000003</v>
      </c>
      <c r="AI49" s="53">
        <v>4788</v>
      </c>
      <c r="AJ49" s="53">
        <v>66.063999999999993</v>
      </c>
      <c r="AL49" s="53">
        <v>5132</v>
      </c>
      <c r="AM49" s="53">
        <v>66.932000000000002</v>
      </c>
      <c r="AO49" s="53">
        <v>4895</v>
      </c>
      <c r="AP49" s="53">
        <v>65.986000000000004</v>
      </c>
      <c r="AU49" s="38">
        <f t="shared" si="0"/>
        <v>4894</v>
      </c>
      <c r="AV49" s="53">
        <v>71.643000000000001</v>
      </c>
      <c r="AX49" s="38">
        <v>5011</v>
      </c>
      <c r="AY49" s="53">
        <v>64.28</v>
      </c>
      <c r="BA49" s="28"/>
    </row>
    <row r="50" spans="1:53" x14ac:dyDescent="0.35">
      <c r="E50" s="38">
        <v>4919</v>
      </c>
      <c r="F50" s="38">
        <v>66.554000000000002</v>
      </c>
      <c r="H50" s="38">
        <v>4891</v>
      </c>
      <c r="I50" s="53">
        <v>65.262</v>
      </c>
      <c r="J50" s="13" t="s">
        <v>234</v>
      </c>
      <c r="K50" s="40">
        <v>5379</v>
      </c>
      <c r="L50" s="40">
        <v>64.834999999999994</v>
      </c>
      <c r="AI50" s="53">
        <v>4932</v>
      </c>
      <c r="AJ50" s="53">
        <v>65.751999999999995</v>
      </c>
      <c r="AL50" s="53">
        <v>5220</v>
      </c>
      <c r="AM50" s="53">
        <v>65.19</v>
      </c>
      <c r="AO50" s="53">
        <v>5018</v>
      </c>
      <c r="AP50" s="53">
        <v>66.667000000000002</v>
      </c>
      <c r="AU50" s="38">
        <f t="shared" si="0"/>
        <v>5074</v>
      </c>
      <c r="AV50" s="53">
        <v>71.22</v>
      </c>
      <c r="AX50" s="38">
        <v>5093</v>
      </c>
      <c r="AY50" s="53">
        <v>64.706000000000003</v>
      </c>
      <c r="BA50" s="28"/>
    </row>
    <row r="51" spans="1:53" x14ac:dyDescent="0.35">
      <c r="E51" s="38">
        <v>5027</v>
      </c>
      <c r="F51" s="38">
        <v>65.614000000000004</v>
      </c>
      <c r="H51" s="38">
        <v>5013</v>
      </c>
      <c r="I51" s="53">
        <v>64.593999999999994</v>
      </c>
      <c r="AI51" s="53">
        <v>5038</v>
      </c>
      <c r="AJ51" s="53">
        <v>66.260999999999996</v>
      </c>
      <c r="AL51" s="53">
        <v>5327</v>
      </c>
      <c r="AM51" s="53">
        <v>65.662999999999997</v>
      </c>
      <c r="AO51" s="53">
        <v>5132</v>
      </c>
      <c r="AP51" s="53">
        <v>66.072000000000003</v>
      </c>
      <c r="AU51" s="38">
        <f t="shared" si="0"/>
        <v>5160</v>
      </c>
      <c r="AV51" s="53">
        <v>70.344999999999999</v>
      </c>
      <c r="AX51" s="38">
        <v>5187</v>
      </c>
      <c r="AY51" s="53">
        <v>63.164999999999999</v>
      </c>
      <c r="BA51" s="28"/>
    </row>
    <row r="52" spans="1:53" x14ac:dyDescent="0.35">
      <c r="E52" s="38">
        <v>5120</v>
      </c>
      <c r="F52" s="38">
        <v>64.438000000000002</v>
      </c>
      <c r="H52" s="38">
        <v>5099</v>
      </c>
      <c r="I52" s="53">
        <v>63.84</v>
      </c>
      <c r="AI52" s="53">
        <v>5140</v>
      </c>
      <c r="AJ52" s="53">
        <v>66.183999999999997</v>
      </c>
      <c r="AL52" s="53">
        <v>5432</v>
      </c>
      <c r="AM52" s="53">
        <v>66.084999999999994</v>
      </c>
      <c r="AO52" s="53">
        <v>5234</v>
      </c>
      <c r="AP52" s="53">
        <v>64.587000000000003</v>
      </c>
      <c r="AU52" s="38">
        <f t="shared" si="0"/>
        <v>5249</v>
      </c>
      <c r="AV52" s="53">
        <v>69.77</v>
      </c>
      <c r="AX52" s="38">
        <v>5270</v>
      </c>
      <c r="AY52" s="53">
        <v>67.287999999999997</v>
      </c>
      <c r="BA52" s="28"/>
    </row>
    <row r="53" spans="1:53" x14ac:dyDescent="0.35">
      <c r="E53" s="38">
        <v>5233</v>
      </c>
      <c r="F53" s="38">
        <v>64.858000000000004</v>
      </c>
      <c r="H53" s="38">
        <v>5192</v>
      </c>
      <c r="I53" s="53">
        <v>63.712000000000003</v>
      </c>
      <c r="AI53" s="53">
        <v>5245</v>
      </c>
      <c r="AJ53" s="53">
        <v>65.864000000000004</v>
      </c>
      <c r="AL53" s="53">
        <v>5529</v>
      </c>
      <c r="AM53" s="53">
        <v>66.531000000000006</v>
      </c>
      <c r="AO53" s="53">
        <v>5468</v>
      </c>
      <c r="AP53" s="53">
        <v>64.683999999999997</v>
      </c>
      <c r="AU53" s="38">
        <f t="shared" si="0"/>
        <v>5340</v>
      </c>
      <c r="AV53" s="53">
        <v>69.884</v>
      </c>
      <c r="AX53" s="38">
        <v>5363</v>
      </c>
      <c r="AY53" s="53">
        <v>66.626000000000005</v>
      </c>
      <c r="BA53" s="28"/>
    </row>
    <row r="54" spans="1:53" x14ac:dyDescent="0.35">
      <c r="E54" s="38">
        <v>5347</v>
      </c>
      <c r="F54" s="38">
        <v>65.131</v>
      </c>
      <c r="H54" s="38">
        <v>5286</v>
      </c>
      <c r="I54" s="53">
        <v>63.262</v>
      </c>
      <c r="AI54" s="53">
        <v>5346</v>
      </c>
      <c r="AJ54" s="53">
        <v>64.917000000000002</v>
      </c>
      <c r="AL54" s="53">
        <v>5641</v>
      </c>
      <c r="AM54" s="53">
        <v>65.590999999999994</v>
      </c>
      <c r="AO54" s="53">
        <v>5593</v>
      </c>
      <c r="AP54" s="53">
        <v>64.673000000000002</v>
      </c>
      <c r="AU54" s="38">
        <f t="shared" si="0"/>
        <v>5424</v>
      </c>
      <c r="AV54" s="53">
        <v>69.671999999999997</v>
      </c>
      <c r="AX54" s="38">
        <v>5446</v>
      </c>
      <c r="AY54" s="53">
        <v>65.718999999999994</v>
      </c>
      <c r="BA54" s="28"/>
    </row>
    <row r="55" spans="1:53" x14ac:dyDescent="0.35">
      <c r="E55" s="38">
        <v>5429</v>
      </c>
      <c r="F55" s="38">
        <v>66.394999999999996</v>
      </c>
      <c r="H55" s="38">
        <v>5381</v>
      </c>
      <c r="I55" s="53">
        <v>63.828000000000003</v>
      </c>
      <c r="AI55" s="53">
        <v>5447</v>
      </c>
      <c r="AJ55" s="53">
        <v>66.486999999999995</v>
      </c>
      <c r="AL55" s="53">
        <v>5734</v>
      </c>
      <c r="AM55" s="53">
        <v>64.951999999999998</v>
      </c>
      <c r="AO55" s="53">
        <v>5690</v>
      </c>
      <c r="AP55" s="53">
        <v>64.739999999999995</v>
      </c>
      <c r="AU55" s="38">
        <f t="shared" si="0"/>
        <v>5535</v>
      </c>
      <c r="AV55" s="53">
        <v>68.926000000000002</v>
      </c>
      <c r="AX55" s="38">
        <v>5539</v>
      </c>
      <c r="AY55" s="53">
        <v>64.861000000000004</v>
      </c>
      <c r="BA55" s="28"/>
    </row>
    <row r="56" spans="1:53" x14ac:dyDescent="0.35">
      <c r="E56" s="38">
        <v>5546</v>
      </c>
      <c r="F56" s="38">
        <v>65.677999999999997</v>
      </c>
      <c r="G56" s="19" t="s">
        <v>234</v>
      </c>
      <c r="H56" s="39">
        <v>5672</v>
      </c>
      <c r="I56" s="39">
        <v>63.89</v>
      </c>
      <c r="AI56" s="53">
        <v>5541</v>
      </c>
      <c r="AJ56" s="53">
        <v>65.897000000000006</v>
      </c>
      <c r="AL56" s="53">
        <v>5824</v>
      </c>
      <c r="AM56" s="53">
        <v>64.608000000000004</v>
      </c>
      <c r="AO56" s="53">
        <v>5798</v>
      </c>
      <c r="AP56" s="53">
        <v>63.628999999999998</v>
      </c>
      <c r="AU56" s="38">
        <f t="shared" si="0"/>
        <v>5630</v>
      </c>
      <c r="AV56" s="53">
        <v>68.844999999999999</v>
      </c>
      <c r="AX56" s="38">
        <v>5631</v>
      </c>
      <c r="AY56" s="53">
        <v>64.891000000000005</v>
      </c>
      <c r="BA56" s="28"/>
    </row>
    <row r="57" spans="1:53" x14ac:dyDescent="0.35">
      <c r="E57" s="38">
        <v>5639</v>
      </c>
      <c r="F57" s="38">
        <v>64.426000000000002</v>
      </c>
      <c r="AI57" s="53">
        <v>5646</v>
      </c>
      <c r="AJ57" s="53">
        <v>65.463999999999999</v>
      </c>
      <c r="AL57" s="53">
        <v>5946</v>
      </c>
      <c r="AM57" s="53">
        <v>65.534000000000006</v>
      </c>
      <c r="AO57" s="53">
        <v>5907</v>
      </c>
      <c r="AP57" s="53">
        <v>63.448</v>
      </c>
      <c r="AU57" s="38">
        <f t="shared" si="0"/>
        <v>5734</v>
      </c>
      <c r="AV57" s="53">
        <v>67.361000000000004</v>
      </c>
      <c r="AX57" s="38">
        <v>5735</v>
      </c>
      <c r="AY57" s="53">
        <v>63.746000000000002</v>
      </c>
      <c r="BA57" s="28"/>
    </row>
    <row r="58" spans="1:53" x14ac:dyDescent="0.35">
      <c r="E58" s="38">
        <v>5735</v>
      </c>
      <c r="F58" s="38">
        <v>64.95</v>
      </c>
      <c r="AI58" s="53">
        <v>5751</v>
      </c>
      <c r="AJ58" s="53">
        <v>65.427000000000007</v>
      </c>
      <c r="AL58" s="53">
        <v>6044</v>
      </c>
      <c r="AM58" s="53">
        <v>64.63</v>
      </c>
      <c r="AO58" s="53">
        <v>6030</v>
      </c>
      <c r="AP58" s="53">
        <v>63.738</v>
      </c>
      <c r="AU58" s="38">
        <f t="shared" si="0"/>
        <v>5824</v>
      </c>
      <c r="AV58" s="53">
        <v>67.099999999999994</v>
      </c>
      <c r="AX58" s="38">
        <v>5822</v>
      </c>
      <c r="AY58" s="53">
        <v>65</v>
      </c>
      <c r="BA58" s="28"/>
    </row>
    <row r="59" spans="1:53" x14ac:dyDescent="0.35">
      <c r="E59" s="38">
        <v>5837</v>
      </c>
      <c r="F59" s="38">
        <v>64.444000000000003</v>
      </c>
      <c r="AI59" s="53">
        <v>5839</v>
      </c>
      <c r="AJ59" s="53">
        <v>65.709999999999994</v>
      </c>
      <c r="AL59" s="53">
        <v>6159</v>
      </c>
      <c r="AM59" s="53">
        <v>66.206999999999994</v>
      </c>
      <c r="AN59" s="13" t="s">
        <v>234</v>
      </c>
      <c r="AO59" s="40">
        <v>6131</v>
      </c>
      <c r="AP59" s="40">
        <v>65.150999999999996</v>
      </c>
      <c r="AU59" s="38">
        <f t="shared" si="0"/>
        <v>5916</v>
      </c>
      <c r="AV59" s="53">
        <v>66.468999999999994</v>
      </c>
      <c r="AX59" s="38">
        <v>5909</v>
      </c>
      <c r="AY59" s="53">
        <v>65.445999999999998</v>
      </c>
      <c r="BA59" s="28"/>
    </row>
    <row r="60" spans="1:53" x14ac:dyDescent="0.35">
      <c r="E60" s="38">
        <v>5947</v>
      </c>
      <c r="F60" s="38">
        <v>63.271999999999998</v>
      </c>
      <c r="AI60" s="53">
        <v>5936</v>
      </c>
      <c r="AJ60" s="53">
        <v>68.807000000000002</v>
      </c>
      <c r="AL60" s="53">
        <v>6279</v>
      </c>
      <c r="AM60" s="53">
        <v>64.706999999999994</v>
      </c>
      <c r="AU60" s="38">
        <f t="shared" si="0"/>
        <v>6011</v>
      </c>
      <c r="AV60" s="53">
        <v>66.784000000000006</v>
      </c>
      <c r="AX60" s="38">
        <v>6007</v>
      </c>
      <c r="AY60" s="53">
        <v>65.262</v>
      </c>
      <c r="BA60" s="28"/>
    </row>
    <row r="61" spans="1:53" x14ac:dyDescent="0.35">
      <c r="E61" s="38">
        <v>6073</v>
      </c>
      <c r="F61" s="38">
        <v>63.881</v>
      </c>
      <c r="AI61" s="53">
        <v>6032</v>
      </c>
      <c r="AJ61" s="53">
        <v>66.471000000000004</v>
      </c>
      <c r="AL61" s="53">
        <v>6396</v>
      </c>
      <c r="AM61" s="53">
        <v>64.695999999999998</v>
      </c>
      <c r="AU61" s="38">
        <f t="shared" si="0"/>
        <v>6110</v>
      </c>
      <c r="AV61" s="53">
        <v>65.677000000000007</v>
      </c>
      <c r="AX61" s="38">
        <v>6129</v>
      </c>
      <c r="AY61" s="53">
        <v>64.593999999999994</v>
      </c>
      <c r="BA61" s="28"/>
    </row>
    <row r="62" spans="1:53" x14ac:dyDescent="0.35">
      <c r="D62" s="13" t="s">
        <v>234</v>
      </c>
      <c r="E62" s="15">
        <v>6248</v>
      </c>
      <c r="F62" s="15">
        <v>63.89</v>
      </c>
      <c r="AI62" s="53">
        <v>6113</v>
      </c>
      <c r="AJ62" s="53">
        <v>65.44</v>
      </c>
      <c r="AL62" s="53">
        <v>6518</v>
      </c>
      <c r="AM62" s="53">
        <v>65.394000000000005</v>
      </c>
      <c r="AU62" s="38">
        <f t="shared" si="0"/>
        <v>6202</v>
      </c>
      <c r="AV62" s="53">
        <v>66.063999999999993</v>
      </c>
      <c r="AX62" s="38">
        <v>6215</v>
      </c>
      <c r="AY62" s="53">
        <v>63.84</v>
      </c>
      <c r="BA62" s="28"/>
    </row>
    <row r="63" spans="1:53" x14ac:dyDescent="0.35">
      <c r="AI63" s="53">
        <v>6204</v>
      </c>
      <c r="AJ63" s="53">
        <v>65.960999999999999</v>
      </c>
      <c r="AL63" s="53">
        <v>6559</v>
      </c>
      <c r="AM63" s="53">
        <v>64.119</v>
      </c>
      <c r="AU63" s="38">
        <f t="shared" si="0"/>
        <v>6346</v>
      </c>
      <c r="AV63" s="53">
        <v>65.751999999999995</v>
      </c>
      <c r="AX63" s="38">
        <v>6308</v>
      </c>
      <c r="AY63" s="53">
        <v>63.712000000000003</v>
      </c>
      <c r="BA63" s="28"/>
    </row>
    <row r="64" spans="1:53" x14ac:dyDescent="0.35">
      <c r="AI64" s="53">
        <v>6396</v>
      </c>
      <c r="AJ64" s="53">
        <v>65.739000000000004</v>
      </c>
      <c r="AL64" s="53">
        <v>6730</v>
      </c>
      <c r="AM64" s="53">
        <v>62.997999999999998</v>
      </c>
      <c r="AU64" s="38">
        <f t="shared" si="0"/>
        <v>6452</v>
      </c>
      <c r="AV64" s="53">
        <v>66.260999999999996</v>
      </c>
      <c r="AX64" s="38">
        <v>6402</v>
      </c>
      <c r="AY64" s="53">
        <v>63.262</v>
      </c>
      <c r="BA64" s="28"/>
    </row>
    <row r="65" spans="34:53" x14ac:dyDescent="0.35">
      <c r="AI65" s="53">
        <v>6482</v>
      </c>
      <c r="AJ65" s="53">
        <v>64.31</v>
      </c>
      <c r="AK65" s="19" t="s">
        <v>241</v>
      </c>
      <c r="AL65" s="39">
        <v>6835</v>
      </c>
      <c r="AM65" s="39">
        <v>60.427999999999997</v>
      </c>
      <c r="AU65" s="38">
        <f t="shared" si="0"/>
        <v>6554</v>
      </c>
      <c r="AV65" s="53">
        <v>66.183999999999997</v>
      </c>
      <c r="AX65" s="38">
        <v>6497</v>
      </c>
      <c r="AY65" s="53">
        <v>63.828000000000003</v>
      </c>
      <c r="BA65" s="28"/>
    </row>
    <row r="66" spans="34:53" x14ac:dyDescent="0.35">
      <c r="AI66" s="53">
        <v>6578</v>
      </c>
      <c r="AJ66" s="53">
        <v>64.921000000000006</v>
      </c>
      <c r="AL66" s="53">
        <v>6932</v>
      </c>
      <c r="AM66" s="53">
        <v>62.201999999999998</v>
      </c>
      <c r="AU66" s="38">
        <f t="shared" si="0"/>
        <v>6659</v>
      </c>
      <c r="AV66" s="53">
        <v>65.864000000000004</v>
      </c>
      <c r="AW66" s="19" t="s">
        <v>234</v>
      </c>
      <c r="AX66" s="9">
        <v>6788</v>
      </c>
      <c r="AY66" s="39">
        <v>63.89</v>
      </c>
    </row>
    <row r="67" spans="34:53" x14ac:dyDescent="0.35">
      <c r="AI67" s="53">
        <v>6684</v>
      </c>
      <c r="AJ67" s="53">
        <v>63.612000000000002</v>
      </c>
      <c r="AL67" s="53">
        <v>7043</v>
      </c>
      <c r="AM67" s="53">
        <v>63.088000000000001</v>
      </c>
      <c r="AU67" s="38">
        <f t="shared" si="0"/>
        <v>6760</v>
      </c>
      <c r="AV67" s="53">
        <v>64.917000000000002</v>
      </c>
      <c r="AX67" s="28"/>
    </row>
    <row r="68" spans="34:53" x14ac:dyDescent="0.35">
      <c r="AI68" s="53">
        <v>6777</v>
      </c>
      <c r="AJ68" s="53">
        <v>61.750999999999998</v>
      </c>
      <c r="AL68" s="53">
        <v>7151</v>
      </c>
      <c r="AM68" s="53">
        <v>62.012999999999998</v>
      </c>
      <c r="AU68" s="38">
        <f t="shared" si="0"/>
        <v>6861</v>
      </c>
      <c r="AV68" s="53">
        <v>66.486999999999995</v>
      </c>
      <c r="AX68" s="28"/>
    </row>
    <row r="69" spans="34:53" x14ac:dyDescent="0.35">
      <c r="AH69" s="13" t="s">
        <v>234</v>
      </c>
      <c r="AI69" s="40">
        <v>7113</v>
      </c>
      <c r="AJ69" s="40">
        <v>63.89</v>
      </c>
      <c r="AL69" s="53">
        <v>7254</v>
      </c>
      <c r="AM69" s="53">
        <v>61.304000000000002</v>
      </c>
      <c r="AU69" s="38">
        <f t="shared" si="0"/>
        <v>6955</v>
      </c>
      <c r="AV69" s="53">
        <v>65.897000000000006</v>
      </c>
      <c r="AX69" s="28"/>
    </row>
    <row r="70" spans="34:53" x14ac:dyDescent="0.35">
      <c r="AL70" s="53">
        <v>7364</v>
      </c>
      <c r="AM70" s="53">
        <v>64.040999999999997</v>
      </c>
      <c r="AU70" s="38">
        <f t="shared" si="0"/>
        <v>7060</v>
      </c>
      <c r="AV70" s="53">
        <v>65.463999999999999</v>
      </c>
      <c r="AX70" s="28"/>
    </row>
    <row r="71" spans="34:53" x14ac:dyDescent="0.35">
      <c r="AL71" s="53">
        <v>7459</v>
      </c>
      <c r="AM71" s="53">
        <v>62.488999999999997</v>
      </c>
      <c r="AU71" s="38">
        <f t="shared" si="0"/>
        <v>7165</v>
      </c>
      <c r="AV71" s="53">
        <v>65.427000000000007</v>
      </c>
      <c r="AX71" s="28"/>
    </row>
    <row r="72" spans="34:53" x14ac:dyDescent="0.35">
      <c r="AL72" s="53">
        <v>7565</v>
      </c>
      <c r="AM72" s="53">
        <v>62.66</v>
      </c>
      <c r="AU72" s="38">
        <f>AI59-$AI$5+$AU$18</f>
        <v>7253</v>
      </c>
      <c r="AV72" s="53">
        <v>65.709999999999994</v>
      </c>
      <c r="AX72" s="28"/>
    </row>
    <row r="73" spans="34:53" x14ac:dyDescent="0.35">
      <c r="AL73" s="53">
        <v>7646</v>
      </c>
      <c r="AM73" s="53">
        <v>64.125</v>
      </c>
      <c r="AU73" s="38">
        <f t="shared" si="0"/>
        <v>7350</v>
      </c>
      <c r="AV73" s="53">
        <v>68.807000000000002</v>
      </c>
      <c r="AX73" s="28"/>
    </row>
    <row r="74" spans="34:53" x14ac:dyDescent="0.35">
      <c r="AK74" s="19" t="s">
        <v>234</v>
      </c>
      <c r="AL74" s="39">
        <v>7673</v>
      </c>
      <c r="AM74" s="39">
        <v>64.662000000000006</v>
      </c>
      <c r="AU74" s="38">
        <f t="shared" si="0"/>
        <v>7446</v>
      </c>
      <c r="AV74" s="53">
        <v>66.471000000000004</v>
      </c>
      <c r="AX74" s="28"/>
    </row>
    <row r="75" spans="34:53" x14ac:dyDescent="0.35">
      <c r="AU75" s="38">
        <f>AI62-$AI$5+$AU$18</f>
        <v>7527</v>
      </c>
      <c r="AV75" s="53">
        <v>65.44</v>
      </c>
      <c r="AX75" s="28"/>
    </row>
    <row r="76" spans="34:53" x14ac:dyDescent="0.35">
      <c r="AU76" s="38">
        <f t="shared" si="0"/>
        <v>7618</v>
      </c>
      <c r="AV76" s="53">
        <v>65.960999999999999</v>
      </c>
    </row>
    <row r="77" spans="34:53" x14ac:dyDescent="0.35">
      <c r="AU77" s="38">
        <f t="shared" si="0"/>
        <v>7810</v>
      </c>
      <c r="AV77" s="53">
        <v>65.739000000000004</v>
      </c>
    </row>
    <row r="78" spans="34:53" x14ac:dyDescent="0.35">
      <c r="AU78" s="38">
        <f t="shared" si="0"/>
        <v>7896</v>
      </c>
      <c r="AV78" s="53">
        <v>64.31</v>
      </c>
    </row>
    <row r="79" spans="34:53" x14ac:dyDescent="0.35">
      <c r="AU79" s="38">
        <f t="shared" si="0"/>
        <v>7992</v>
      </c>
      <c r="AV79" s="53">
        <v>64.921000000000006</v>
      </c>
    </row>
    <row r="80" spans="34:53" x14ac:dyDescent="0.35">
      <c r="AU80" s="38">
        <f t="shared" si="0"/>
        <v>8098</v>
      </c>
      <c r="AV80" s="53">
        <v>63.612000000000002</v>
      </c>
    </row>
    <row r="81" spans="46:48" x14ac:dyDescent="0.35">
      <c r="AU81" s="38">
        <f>AI68-$AI$5+$AU$18</f>
        <v>8191</v>
      </c>
      <c r="AV81" s="53">
        <v>61.750999999999998</v>
      </c>
    </row>
    <row r="82" spans="46:48" x14ac:dyDescent="0.35">
      <c r="AT82" s="13" t="s">
        <v>234</v>
      </c>
      <c r="AU82" s="40">
        <f t="shared" si="0"/>
        <v>8527</v>
      </c>
      <c r="AV82" s="40">
        <v>63.89</v>
      </c>
    </row>
    <row r="83" spans="46:48" x14ac:dyDescent="0.35">
      <c r="AU83" s="61"/>
    </row>
    <row r="84" spans="46:48" x14ac:dyDescent="0.35">
      <c r="AU84" s="61"/>
    </row>
    <row r="85" spans="46:48" x14ac:dyDescent="0.35">
      <c r="AU85" s="61"/>
    </row>
    <row r="86" spans="46:48" x14ac:dyDescent="0.35">
      <c r="AU86" s="61"/>
    </row>
    <row r="87" spans="46:48" x14ac:dyDescent="0.35">
      <c r="AU87" s="61"/>
    </row>
    <row r="88" spans="46:48" x14ac:dyDescent="0.35">
      <c r="AU88" s="61"/>
    </row>
  </sheetData>
  <mergeCells count="19">
    <mergeCell ref="B1:C1"/>
    <mergeCell ref="E1:F1"/>
    <mergeCell ref="H1:I1"/>
    <mergeCell ref="N1:O1"/>
    <mergeCell ref="AU1:AV1"/>
    <mergeCell ref="T1:U1"/>
    <mergeCell ref="Q1:R1"/>
    <mergeCell ref="K1:L1"/>
    <mergeCell ref="AX1:AY1"/>
    <mergeCell ref="BA1:BB1"/>
    <mergeCell ref="BD1:BE1"/>
    <mergeCell ref="W1:X1"/>
    <mergeCell ref="Z1:AA1"/>
    <mergeCell ref="AC1:AD1"/>
    <mergeCell ref="AF1:AG1"/>
    <mergeCell ref="AI1:AJ1"/>
    <mergeCell ref="AL1:AM1"/>
    <mergeCell ref="AO1:AP1"/>
    <mergeCell ref="AR1:AS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7"/>
  <dimension ref="A1:CR80"/>
  <sheetViews>
    <sheetView topLeftCell="BP1" workbookViewId="0">
      <pane ySplit="2" topLeftCell="A3" activePane="bottomLeft" state="frozen"/>
      <selection activeCell="BP1" sqref="BP1"/>
      <selection pane="bottomLeft" activeCell="CI10" sqref="CI10"/>
    </sheetView>
  </sheetViews>
  <sheetFormatPr defaultRowHeight="14.5" x14ac:dyDescent="0.35"/>
  <sheetData>
    <row r="1" spans="2:96" x14ac:dyDescent="0.35">
      <c r="B1" s="99" t="s">
        <v>127</v>
      </c>
      <c r="C1" s="100"/>
      <c r="E1" s="99" t="s">
        <v>128</v>
      </c>
      <c r="F1" s="100"/>
      <c r="H1" s="99" t="s">
        <v>129</v>
      </c>
      <c r="I1" s="100"/>
      <c r="K1" s="99" t="s">
        <v>130</v>
      </c>
      <c r="L1" s="100"/>
      <c r="N1" s="99" t="s">
        <v>131</v>
      </c>
      <c r="O1" s="100"/>
      <c r="Q1" s="99" t="s">
        <v>132</v>
      </c>
      <c r="R1" s="100"/>
      <c r="T1" s="99" t="s">
        <v>133</v>
      </c>
      <c r="U1" s="100"/>
      <c r="W1" s="99" t="s">
        <v>134</v>
      </c>
      <c r="X1" s="100"/>
      <c r="Z1" s="99" t="s">
        <v>135</v>
      </c>
      <c r="AA1" s="100"/>
      <c r="AC1" s="99" t="s">
        <v>136</v>
      </c>
      <c r="AD1" s="100"/>
      <c r="AF1" s="99" t="s">
        <v>137</v>
      </c>
      <c r="AG1" s="100"/>
      <c r="AI1" s="99" t="s">
        <v>138</v>
      </c>
      <c r="AJ1" s="100"/>
      <c r="AL1" s="99" t="s">
        <v>139</v>
      </c>
      <c r="AM1" s="100"/>
      <c r="AO1" s="99" t="s">
        <v>140</v>
      </c>
      <c r="AP1" s="100"/>
      <c r="AR1" s="99" t="s">
        <v>141</v>
      </c>
      <c r="AS1" s="100"/>
      <c r="AU1" s="99" t="s">
        <v>142</v>
      </c>
      <c r="AV1" s="100"/>
      <c r="AX1" s="99" t="s">
        <v>143</v>
      </c>
      <c r="AY1" s="100"/>
      <c r="BA1" s="99" t="s">
        <v>144</v>
      </c>
      <c r="BB1" s="100"/>
      <c r="BD1" s="99" t="s">
        <v>145</v>
      </c>
      <c r="BE1" s="100"/>
      <c r="BG1" s="99" t="s">
        <v>146</v>
      </c>
      <c r="BH1" s="100"/>
      <c r="BJ1" s="99" t="s">
        <v>147</v>
      </c>
      <c r="BK1" s="100"/>
      <c r="BM1" s="99" t="s">
        <v>148</v>
      </c>
      <c r="BN1" s="100"/>
      <c r="BP1" s="99" t="s">
        <v>149</v>
      </c>
      <c r="BQ1" s="100"/>
      <c r="BS1" s="99" t="s">
        <v>150</v>
      </c>
      <c r="BT1" s="100"/>
      <c r="BV1" s="99" t="s">
        <v>151</v>
      </c>
      <c r="BW1" s="100"/>
      <c r="BY1" s="99" t="s">
        <v>152</v>
      </c>
      <c r="BZ1" s="100"/>
      <c r="CB1" s="99" t="s">
        <v>153</v>
      </c>
      <c r="CC1" s="100"/>
      <c r="CE1" s="99" t="s">
        <v>154</v>
      </c>
      <c r="CF1" s="100"/>
      <c r="CH1" s="99" t="s">
        <v>156</v>
      </c>
      <c r="CI1" s="100"/>
      <c r="CK1" s="99" t="s">
        <v>155</v>
      </c>
      <c r="CL1" s="100"/>
      <c r="CN1" s="99" t="s">
        <v>159</v>
      </c>
      <c r="CO1" s="100"/>
      <c r="CQ1" s="37"/>
      <c r="CR1" s="37"/>
    </row>
    <row r="2" spans="2:96" x14ac:dyDescent="0.35">
      <c r="B2" s="1" t="s">
        <v>32</v>
      </c>
      <c r="C2" s="1" t="s">
        <v>33</v>
      </c>
      <c r="E2" s="1" t="s">
        <v>32</v>
      </c>
      <c r="F2" s="1" t="s">
        <v>33</v>
      </c>
      <c r="H2" s="1" t="s">
        <v>32</v>
      </c>
      <c r="I2" s="1" t="s">
        <v>33</v>
      </c>
      <c r="K2" s="1" t="s">
        <v>32</v>
      </c>
      <c r="L2" s="1" t="s">
        <v>33</v>
      </c>
      <c r="N2" s="1" t="s">
        <v>32</v>
      </c>
      <c r="O2" s="1" t="s">
        <v>33</v>
      </c>
      <c r="Q2" s="1" t="s">
        <v>32</v>
      </c>
      <c r="R2" s="1" t="s">
        <v>33</v>
      </c>
      <c r="T2" s="1" t="s">
        <v>32</v>
      </c>
      <c r="U2" s="1" t="s">
        <v>33</v>
      </c>
      <c r="W2" s="1" t="s">
        <v>32</v>
      </c>
      <c r="X2" s="1" t="s">
        <v>33</v>
      </c>
      <c r="Z2" s="1" t="s">
        <v>32</v>
      </c>
      <c r="AA2" s="1" t="s">
        <v>33</v>
      </c>
      <c r="AC2" s="1" t="s">
        <v>32</v>
      </c>
      <c r="AD2" s="1" t="s">
        <v>33</v>
      </c>
      <c r="AF2" s="1" t="s">
        <v>32</v>
      </c>
      <c r="AG2" s="1" t="s">
        <v>33</v>
      </c>
      <c r="AI2" s="1" t="s">
        <v>32</v>
      </c>
      <c r="AJ2" s="1" t="s">
        <v>33</v>
      </c>
      <c r="AL2" s="1" t="s">
        <v>32</v>
      </c>
      <c r="AM2" s="1" t="s">
        <v>33</v>
      </c>
      <c r="AO2" s="1" t="s">
        <v>32</v>
      </c>
      <c r="AP2" s="1" t="s">
        <v>33</v>
      </c>
      <c r="AR2" s="1" t="s">
        <v>32</v>
      </c>
      <c r="AS2" s="1" t="s">
        <v>33</v>
      </c>
      <c r="AU2" s="1" t="s">
        <v>32</v>
      </c>
      <c r="AV2" s="1" t="s">
        <v>33</v>
      </c>
      <c r="AX2" s="1" t="s">
        <v>32</v>
      </c>
      <c r="AY2" s="1" t="s">
        <v>33</v>
      </c>
      <c r="BA2" s="1" t="s">
        <v>32</v>
      </c>
      <c r="BB2" s="1" t="s">
        <v>33</v>
      </c>
      <c r="BD2" s="1" t="s">
        <v>32</v>
      </c>
      <c r="BE2" s="1" t="s">
        <v>33</v>
      </c>
      <c r="BG2" s="1" t="s">
        <v>32</v>
      </c>
      <c r="BH2" s="1" t="s">
        <v>33</v>
      </c>
      <c r="BJ2" s="1" t="s">
        <v>32</v>
      </c>
      <c r="BK2" s="1" t="s">
        <v>33</v>
      </c>
      <c r="BM2" s="1" t="s">
        <v>32</v>
      </c>
      <c r="BN2" s="1" t="s">
        <v>33</v>
      </c>
      <c r="BP2" s="1" t="s">
        <v>32</v>
      </c>
      <c r="BQ2" s="1" t="s">
        <v>33</v>
      </c>
      <c r="BS2" s="1" t="s">
        <v>32</v>
      </c>
      <c r="BT2" s="1" t="s">
        <v>33</v>
      </c>
      <c r="BV2" s="1" t="s">
        <v>32</v>
      </c>
      <c r="BW2" s="1" t="s">
        <v>33</v>
      </c>
      <c r="BY2" s="1" t="s">
        <v>32</v>
      </c>
      <c r="BZ2" s="1" t="s">
        <v>33</v>
      </c>
      <c r="CB2" s="1" t="s">
        <v>32</v>
      </c>
      <c r="CC2" s="1" t="s">
        <v>33</v>
      </c>
      <c r="CE2" s="1" t="s">
        <v>32</v>
      </c>
      <c r="CF2" s="1" t="s">
        <v>33</v>
      </c>
      <c r="CH2" s="1" t="s">
        <v>32</v>
      </c>
      <c r="CI2" s="1" t="s">
        <v>33</v>
      </c>
      <c r="CK2" s="1" t="s">
        <v>32</v>
      </c>
      <c r="CL2" s="1" t="s">
        <v>33</v>
      </c>
      <c r="CN2" s="1" t="s">
        <v>32</v>
      </c>
      <c r="CO2" s="1" t="s">
        <v>33</v>
      </c>
      <c r="CQ2" s="28"/>
      <c r="CR2" s="28"/>
    </row>
    <row r="3" spans="2:96" x14ac:dyDescent="0.35">
      <c r="B3" s="38">
        <v>0</v>
      </c>
      <c r="C3" s="38">
        <v>66.61</v>
      </c>
      <c r="E3" s="38">
        <v>0</v>
      </c>
      <c r="F3" s="38">
        <v>71.626000000000005</v>
      </c>
      <c r="H3" s="38">
        <v>0</v>
      </c>
      <c r="I3" s="38">
        <v>70.153999999999996</v>
      </c>
      <c r="K3" s="38">
        <v>0</v>
      </c>
      <c r="L3" s="38">
        <v>65.308000000000007</v>
      </c>
      <c r="N3" s="38">
        <v>0</v>
      </c>
      <c r="O3" s="38">
        <v>69.457999999999998</v>
      </c>
      <c r="Q3" s="52">
        <v>0</v>
      </c>
      <c r="R3" s="53">
        <v>66.691000000000003</v>
      </c>
      <c r="T3" s="53">
        <v>0</v>
      </c>
      <c r="U3" s="53">
        <v>63.331000000000003</v>
      </c>
      <c r="W3" s="53">
        <v>0</v>
      </c>
      <c r="X3" s="53">
        <v>62.777000000000001</v>
      </c>
      <c r="Z3" s="53">
        <v>0</v>
      </c>
      <c r="AA3" s="53">
        <v>59.231999999999999</v>
      </c>
      <c r="AC3" s="53">
        <v>0</v>
      </c>
      <c r="AD3" s="53">
        <v>56.283000000000001</v>
      </c>
      <c r="AF3" s="38">
        <v>0</v>
      </c>
      <c r="AG3" s="38">
        <v>61.25</v>
      </c>
      <c r="AI3" s="53">
        <v>0</v>
      </c>
      <c r="AJ3" s="53">
        <v>61.887</v>
      </c>
      <c r="AL3" s="53">
        <v>0</v>
      </c>
      <c r="AM3" s="53">
        <v>61.83</v>
      </c>
      <c r="AO3" s="38">
        <v>0</v>
      </c>
      <c r="AP3" s="38">
        <v>58.45</v>
      </c>
      <c r="AR3" s="38">
        <v>0</v>
      </c>
      <c r="AS3" s="38">
        <v>66.686999999999998</v>
      </c>
      <c r="AU3" s="53">
        <v>0</v>
      </c>
      <c r="AV3" s="53">
        <v>926</v>
      </c>
      <c r="AX3" s="53">
        <v>0</v>
      </c>
      <c r="AY3" s="53">
        <v>62.113999999999997</v>
      </c>
      <c r="BA3" s="38">
        <v>0</v>
      </c>
      <c r="BB3" s="38">
        <v>58.045999999999999</v>
      </c>
      <c r="BD3" s="38">
        <v>0</v>
      </c>
      <c r="BE3" s="38">
        <v>67.605999999999995</v>
      </c>
      <c r="BG3" s="53">
        <v>0</v>
      </c>
      <c r="BH3" s="53">
        <v>58.137999999999998</v>
      </c>
      <c r="BJ3" s="38">
        <v>0</v>
      </c>
      <c r="BK3" s="38">
        <v>57.121000000000002</v>
      </c>
      <c r="BM3" s="38">
        <v>0</v>
      </c>
      <c r="BN3" s="38">
        <v>65.504000000000005</v>
      </c>
      <c r="BP3" s="38">
        <v>0</v>
      </c>
      <c r="BQ3" s="38">
        <v>64.825999999999993</v>
      </c>
      <c r="BS3" s="38">
        <v>0</v>
      </c>
      <c r="BT3" s="38">
        <v>68.552999999999997</v>
      </c>
      <c r="BV3" s="53">
        <v>0</v>
      </c>
      <c r="BW3" s="53">
        <v>68.777000000000001</v>
      </c>
      <c r="BY3" s="52">
        <v>0</v>
      </c>
      <c r="BZ3" s="52">
        <v>69.641000000000005</v>
      </c>
      <c r="CB3" s="38">
        <v>0</v>
      </c>
      <c r="CC3" s="38">
        <v>68.704999999999998</v>
      </c>
      <c r="CE3" s="38">
        <v>0</v>
      </c>
      <c r="CF3" s="38">
        <v>66.421000000000006</v>
      </c>
      <c r="CH3" s="38">
        <v>0</v>
      </c>
      <c r="CI3" s="38">
        <v>65.887</v>
      </c>
      <c r="CK3" s="53">
        <v>0</v>
      </c>
      <c r="CL3" s="53">
        <v>66.478999999999999</v>
      </c>
      <c r="CN3" s="38">
        <v>0</v>
      </c>
      <c r="CO3" s="38">
        <v>66.180000000000007</v>
      </c>
    </row>
    <row r="4" spans="2:96" x14ac:dyDescent="0.35">
      <c r="B4" s="38">
        <v>73</v>
      </c>
      <c r="C4" s="38">
        <v>64.933000000000007</v>
      </c>
      <c r="E4" s="38">
        <v>91</v>
      </c>
      <c r="F4" s="38">
        <v>68.370999999999995</v>
      </c>
      <c r="H4" s="38">
        <v>53</v>
      </c>
      <c r="I4" s="38">
        <v>71.341999999999999</v>
      </c>
      <c r="K4" s="38">
        <v>158</v>
      </c>
      <c r="L4" s="38">
        <v>64.789000000000001</v>
      </c>
      <c r="N4" s="38">
        <v>117</v>
      </c>
      <c r="O4" s="38">
        <v>68.796999999999997</v>
      </c>
      <c r="Q4" s="52">
        <v>64</v>
      </c>
      <c r="R4" s="53">
        <v>67.222999999999999</v>
      </c>
      <c r="T4" s="53">
        <v>205</v>
      </c>
      <c r="U4" s="53">
        <v>60.762999999999998</v>
      </c>
      <c r="W4" s="53">
        <v>49</v>
      </c>
      <c r="X4" s="53">
        <v>61.957000000000001</v>
      </c>
      <c r="Z4" s="53">
        <v>123</v>
      </c>
      <c r="AA4" s="53">
        <v>58.927</v>
      </c>
      <c r="AC4" s="53">
        <v>105</v>
      </c>
      <c r="AD4" s="53">
        <v>56.53</v>
      </c>
      <c r="AF4" s="38">
        <v>198</v>
      </c>
      <c r="AG4" s="38">
        <v>61.405999999999999</v>
      </c>
      <c r="AH4" s="13" t="s">
        <v>119</v>
      </c>
      <c r="AI4" s="40">
        <v>186</v>
      </c>
      <c r="AJ4" s="40">
        <v>58.735999999999997</v>
      </c>
      <c r="AL4" s="38">
        <v>34</v>
      </c>
      <c r="AM4" s="38">
        <v>60.329000000000001</v>
      </c>
      <c r="AO4" s="38">
        <v>183</v>
      </c>
      <c r="AP4" s="38">
        <v>59.639000000000003</v>
      </c>
      <c r="AR4" s="38">
        <v>117</v>
      </c>
      <c r="AS4" s="38">
        <v>61.542999999999999</v>
      </c>
      <c r="AU4" s="53">
        <v>156</v>
      </c>
      <c r="AV4" s="53">
        <v>61.439</v>
      </c>
      <c r="AX4" s="53">
        <v>112</v>
      </c>
      <c r="AY4" s="53">
        <v>60.441000000000003</v>
      </c>
      <c r="BA4" s="38">
        <v>82</v>
      </c>
      <c r="BB4" s="38">
        <v>56.347000000000001</v>
      </c>
      <c r="BD4" s="38">
        <v>260</v>
      </c>
      <c r="BE4" s="38">
        <v>64.305999999999997</v>
      </c>
      <c r="BG4" s="53">
        <v>96</v>
      </c>
      <c r="BH4" s="53">
        <v>59.581000000000003</v>
      </c>
      <c r="BJ4" s="38">
        <v>32</v>
      </c>
      <c r="BK4" s="38">
        <v>57.764000000000003</v>
      </c>
      <c r="BM4" s="38">
        <v>149</v>
      </c>
      <c r="BN4" s="38">
        <v>61.795999999999999</v>
      </c>
      <c r="BP4" s="38">
        <v>24</v>
      </c>
      <c r="BQ4" s="38">
        <v>64.564999999999998</v>
      </c>
      <c r="BS4" s="38">
        <v>50</v>
      </c>
      <c r="BT4" s="38">
        <v>69.44</v>
      </c>
      <c r="BV4" s="53">
        <v>118</v>
      </c>
      <c r="BW4" s="53">
        <v>69.45</v>
      </c>
      <c r="BY4" s="52">
        <v>51</v>
      </c>
      <c r="BZ4" s="52">
        <v>69.370999999999995</v>
      </c>
      <c r="CB4" s="38">
        <v>35</v>
      </c>
      <c r="CC4" s="38">
        <v>65.426000000000002</v>
      </c>
      <c r="CE4" s="38">
        <v>75</v>
      </c>
      <c r="CF4" s="38">
        <v>65.873999999999995</v>
      </c>
      <c r="CH4" s="38">
        <v>174</v>
      </c>
      <c r="CI4" s="38">
        <v>64.587000000000003</v>
      </c>
      <c r="CK4" s="53">
        <v>36</v>
      </c>
      <c r="CL4" s="53">
        <v>65.122</v>
      </c>
      <c r="CN4" s="38">
        <v>107</v>
      </c>
      <c r="CO4" s="38">
        <v>66.427999999999997</v>
      </c>
    </row>
    <row r="5" spans="2:96" x14ac:dyDescent="0.35">
      <c r="B5" s="38">
        <v>211</v>
      </c>
      <c r="C5" s="38">
        <v>65.037999999999997</v>
      </c>
      <c r="E5" s="38">
        <v>189</v>
      </c>
      <c r="F5" s="38">
        <v>68.673000000000002</v>
      </c>
      <c r="H5" s="38">
        <v>140</v>
      </c>
      <c r="I5" s="38">
        <v>70.665000000000006</v>
      </c>
      <c r="K5" s="38">
        <v>264</v>
      </c>
      <c r="L5" s="38">
        <v>65.456000000000003</v>
      </c>
      <c r="N5" s="38">
        <v>245</v>
      </c>
      <c r="O5" s="38">
        <v>68.774000000000001</v>
      </c>
      <c r="Q5" s="52">
        <v>185</v>
      </c>
      <c r="R5" s="53">
        <v>65.759</v>
      </c>
      <c r="T5" s="53">
        <v>296</v>
      </c>
      <c r="U5" s="53">
        <v>60.31</v>
      </c>
      <c r="W5" s="53">
        <v>113</v>
      </c>
      <c r="X5" s="53">
        <v>62.13</v>
      </c>
      <c r="Z5" s="53">
        <v>196</v>
      </c>
      <c r="AA5" s="53">
        <v>57.655000000000001</v>
      </c>
      <c r="AC5" s="53">
        <v>173</v>
      </c>
      <c r="AD5" s="53">
        <v>56.912999999999997</v>
      </c>
      <c r="AF5" s="38">
        <v>301</v>
      </c>
      <c r="AG5" s="38">
        <v>60.578000000000003</v>
      </c>
      <c r="AI5" s="40">
        <v>246</v>
      </c>
      <c r="AJ5" s="40">
        <v>57.975999999999999</v>
      </c>
      <c r="AL5" s="38">
        <v>234</v>
      </c>
      <c r="AM5" s="38">
        <v>62.353000000000002</v>
      </c>
      <c r="AO5" s="38">
        <v>290</v>
      </c>
      <c r="AP5" s="38">
        <v>60.405999999999999</v>
      </c>
      <c r="AR5" s="38">
        <v>345</v>
      </c>
      <c r="AS5" s="38">
        <v>62.552999999999997</v>
      </c>
      <c r="AU5" s="53">
        <v>307</v>
      </c>
      <c r="AV5" s="53">
        <v>62.145000000000003</v>
      </c>
      <c r="AX5" s="53">
        <v>211</v>
      </c>
      <c r="AY5" s="53">
        <v>60.753999999999998</v>
      </c>
      <c r="BA5" s="38">
        <v>224</v>
      </c>
      <c r="BB5" s="38">
        <v>55.045999999999999</v>
      </c>
      <c r="BD5" s="38">
        <v>407</v>
      </c>
      <c r="BE5" s="38">
        <v>66.070999999999998</v>
      </c>
      <c r="BG5" s="53">
        <v>345</v>
      </c>
      <c r="BH5" s="53">
        <v>59.637</v>
      </c>
      <c r="BJ5" s="38">
        <v>223</v>
      </c>
      <c r="BK5" s="38">
        <v>57.451000000000001</v>
      </c>
      <c r="BM5" s="38">
        <v>229</v>
      </c>
      <c r="BN5" s="38">
        <v>63.381</v>
      </c>
      <c r="BP5" s="38">
        <v>165</v>
      </c>
      <c r="BQ5" s="38">
        <v>56.021000000000001</v>
      </c>
      <c r="BS5" s="38">
        <v>150</v>
      </c>
      <c r="BT5" s="38">
        <v>69.44</v>
      </c>
      <c r="BV5" s="53">
        <v>317</v>
      </c>
      <c r="BW5" s="53">
        <v>67.772999999999996</v>
      </c>
      <c r="BY5" s="52">
        <v>406</v>
      </c>
      <c r="BZ5" s="52">
        <v>68.212000000000003</v>
      </c>
      <c r="CB5" s="38">
        <v>151</v>
      </c>
      <c r="CC5" s="38">
        <v>65.399000000000001</v>
      </c>
      <c r="CE5" s="38">
        <v>139</v>
      </c>
      <c r="CF5" s="38">
        <v>65.741</v>
      </c>
      <c r="CH5" s="38">
        <v>268</v>
      </c>
      <c r="CI5" s="38">
        <v>65.710999999999999</v>
      </c>
      <c r="CJ5" s="13" t="s">
        <v>119</v>
      </c>
      <c r="CK5" s="15">
        <v>164</v>
      </c>
      <c r="CL5" s="15">
        <v>65.430999999999997</v>
      </c>
      <c r="CN5" s="38">
        <v>222</v>
      </c>
      <c r="CO5" s="38">
        <v>66.400000000000006</v>
      </c>
    </row>
    <row r="6" spans="2:96" x14ac:dyDescent="0.35">
      <c r="B6" s="38">
        <v>385</v>
      </c>
      <c r="C6" s="38">
        <v>66.031999999999996</v>
      </c>
      <c r="E6" s="38">
        <v>288</v>
      </c>
      <c r="F6" s="38">
        <v>68.905000000000001</v>
      </c>
      <c r="H6" s="38">
        <v>255</v>
      </c>
      <c r="I6" s="38">
        <v>70.204999999999998</v>
      </c>
      <c r="K6" s="38">
        <v>410</v>
      </c>
      <c r="L6" s="38">
        <v>67.385000000000005</v>
      </c>
      <c r="N6" s="38">
        <v>304</v>
      </c>
      <c r="O6" s="38">
        <v>68.212999999999994</v>
      </c>
      <c r="Q6" s="52">
        <v>298</v>
      </c>
      <c r="R6" s="53">
        <v>66.754000000000005</v>
      </c>
      <c r="T6" s="53">
        <v>397</v>
      </c>
      <c r="U6" s="53">
        <v>60.593000000000004</v>
      </c>
      <c r="W6" s="53">
        <v>173</v>
      </c>
      <c r="X6" s="53">
        <v>62.459000000000003</v>
      </c>
      <c r="Z6" s="53">
        <v>273</v>
      </c>
      <c r="AA6" s="53">
        <v>57.287999999999997</v>
      </c>
      <c r="AC6" s="53">
        <v>285</v>
      </c>
      <c r="AD6" s="53">
        <v>56.213999999999999</v>
      </c>
      <c r="AF6" s="38">
        <v>403</v>
      </c>
      <c r="AG6" s="38">
        <v>60.325000000000003</v>
      </c>
      <c r="AI6" s="53">
        <v>340</v>
      </c>
      <c r="AJ6" s="53">
        <v>57.970999999999997</v>
      </c>
      <c r="AL6" s="53">
        <v>332</v>
      </c>
      <c r="AM6" s="53">
        <v>62.927</v>
      </c>
      <c r="AO6" s="38">
        <v>488</v>
      </c>
      <c r="AP6" s="38">
        <v>60.003999999999998</v>
      </c>
      <c r="AR6" s="38">
        <v>462</v>
      </c>
      <c r="AS6" s="38">
        <v>63.021000000000001</v>
      </c>
      <c r="AU6" s="53">
        <v>453</v>
      </c>
      <c r="AV6" s="53">
        <v>63.222000000000001</v>
      </c>
      <c r="AX6" s="53">
        <v>319</v>
      </c>
      <c r="AY6" s="53">
        <v>61.22</v>
      </c>
      <c r="BA6" s="38">
        <v>386</v>
      </c>
      <c r="BB6" s="38">
        <v>58.457000000000001</v>
      </c>
      <c r="BD6" s="38">
        <v>555</v>
      </c>
      <c r="BE6" s="38">
        <v>66.266999999999996</v>
      </c>
      <c r="BG6" s="53">
        <v>523</v>
      </c>
      <c r="BH6" s="53">
        <v>62.750999999999998</v>
      </c>
      <c r="BJ6" s="38">
        <v>320</v>
      </c>
      <c r="BK6" s="38">
        <v>56.902000000000001</v>
      </c>
      <c r="BM6" s="38">
        <v>366</v>
      </c>
      <c r="BN6" s="38">
        <v>63.774000000000001</v>
      </c>
      <c r="BP6" s="38">
        <v>254</v>
      </c>
      <c r="BQ6" s="38">
        <v>56.765999999999998</v>
      </c>
      <c r="BS6" s="38">
        <v>411</v>
      </c>
      <c r="BT6" s="38">
        <v>68.25</v>
      </c>
      <c r="BV6" s="53">
        <v>419</v>
      </c>
      <c r="BW6" s="53">
        <v>67.558000000000007</v>
      </c>
      <c r="BY6" s="52">
        <v>559</v>
      </c>
      <c r="BZ6" s="52">
        <v>62.460999999999999</v>
      </c>
      <c r="CB6" s="38">
        <v>242</v>
      </c>
      <c r="CC6" s="38">
        <v>66.210999999999999</v>
      </c>
      <c r="CE6" s="38">
        <v>314</v>
      </c>
      <c r="CF6" s="38">
        <v>66.411000000000001</v>
      </c>
      <c r="CH6" s="38">
        <v>353</v>
      </c>
      <c r="CI6" s="38">
        <v>64.698999999999998</v>
      </c>
      <c r="CK6" s="53">
        <v>274</v>
      </c>
      <c r="CL6" s="53">
        <v>65.22</v>
      </c>
      <c r="CN6" s="38">
        <v>322</v>
      </c>
      <c r="CO6" s="38">
        <v>66.435000000000002</v>
      </c>
    </row>
    <row r="7" spans="2:96" x14ac:dyDescent="0.35">
      <c r="B7" s="38">
        <v>486</v>
      </c>
      <c r="C7" s="38">
        <v>66.001999999999995</v>
      </c>
      <c r="E7" s="38">
        <v>392</v>
      </c>
      <c r="F7" s="38">
        <v>68.698999999999998</v>
      </c>
      <c r="H7" s="38">
        <v>350</v>
      </c>
      <c r="I7" s="38">
        <v>69.578000000000003</v>
      </c>
      <c r="K7" s="38">
        <v>541</v>
      </c>
      <c r="L7" s="38">
        <v>69.653999999999996</v>
      </c>
      <c r="N7" s="38">
        <v>438</v>
      </c>
      <c r="O7" s="38">
        <v>68.081000000000003</v>
      </c>
      <c r="Q7" s="52">
        <v>409</v>
      </c>
      <c r="R7" s="53">
        <v>65.135999999999996</v>
      </c>
      <c r="T7" s="53">
        <v>513</v>
      </c>
      <c r="U7" s="53">
        <v>60.21</v>
      </c>
      <c r="W7" s="53">
        <v>275</v>
      </c>
      <c r="X7" s="53">
        <v>63.627000000000002</v>
      </c>
      <c r="Z7" s="53">
        <v>361</v>
      </c>
      <c r="AA7" s="53">
        <v>55.41</v>
      </c>
      <c r="AC7" s="53">
        <v>384</v>
      </c>
      <c r="AD7" s="53">
        <v>57.762</v>
      </c>
      <c r="AF7" s="38">
        <v>596</v>
      </c>
      <c r="AG7" s="38">
        <v>59.66</v>
      </c>
      <c r="AI7" s="53">
        <v>426</v>
      </c>
      <c r="AJ7" s="53">
        <v>58.881999999999998</v>
      </c>
      <c r="AL7" s="53">
        <v>459</v>
      </c>
      <c r="AM7" s="53">
        <v>63.232999999999997</v>
      </c>
      <c r="AO7" s="38">
        <v>590</v>
      </c>
      <c r="AP7" s="38">
        <v>61.216999999999999</v>
      </c>
      <c r="AR7" s="38">
        <v>574</v>
      </c>
      <c r="AS7" s="38">
        <v>63.651000000000003</v>
      </c>
      <c r="AU7" s="53">
        <v>501</v>
      </c>
      <c r="AV7" s="53">
        <v>63.220999999999997</v>
      </c>
      <c r="AX7" s="53">
        <v>419</v>
      </c>
      <c r="AY7" s="53">
        <v>61.011000000000003</v>
      </c>
      <c r="BA7" s="38">
        <v>485</v>
      </c>
      <c r="BB7" s="38">
        <v>59.774999999999999</v>
      </c>
      <c r="BD7" s="38">
        <v>666</v>
      </c>
      <c r="BE7" s="38">
        <v>65.37</v>
      </c>
      <c r="BG7" s="53">
        <v>641</v>
      </c>
      <c r="BH7" s="53">
        <v>62.34</v>
      </c>
      <c r="BJ7" s="38">
        <v>450</v>
      </c>
      <c r="BK7" s="38">
        <v>56.682000000000002</v>
      </c>
      <c r="BM7" s="38">
        <v>485</v>
      </c>
      <c r="BN7" s="38">
        <v>64.754999999999995</v>
      </c>
      <c r="BO7" s="19" t="s">
        <v>265</v>
      </c>
      <c r="BP7" s="9">
        <v>365</v>
      </c>
      <c r="BQ7" s="9">
        <v>57.253999999999998</v>
      </c>
      <c r="BR7" s="13" t="s">
        <v>293</v>
      </c>
      <c r="BS7" s="15">
        <v>663</v>
      </c>
      <c r="BT7" s="15">
        <v>68.311000000000007</v>
      </c>
      <c r="BV7" s="53">
        <v>523</v>
      </c>
      <c r="BW7" s="53">
        <v>67.510000000000005</v>
      </c>
      <c r="BY7" s="52">
        <v>662</v>
      </c>
      <c r="BZ7" s="52">
        <v>62.777000000000001</v>
      </c>
      <c r="CB7" s="38">
        <v>341</v>
      </c>
      <c r="CC7" s="38">
        <v>66.8</v>
      </c>
      <c r="CE7" s="38">
        <v>489</v>
      </c>
      <c r="CF7" s="38">
        <v>66.902000000000001</v>
      </c>
      <c r="CH7" s="38">
        <v>458</v>
      </c>
      <c r="CI7" s="38">
        <v>64.563999999999993</v>
      </c>
      <c r="CK7" s="53">
        <v>377</v>
      </c>
      <c r="CL7" s="38">
        <v>64.355999999999995</v>
      </c>
      <c r="CN7" s="38">
        <v>441</v>
      </c>
      <c r="CO7" s="38">
        <v>66.87</v>
      </c>
    </row>
    <row r="8" spans="2:96" x14ac:dyDescent="0.35">
      <c r="B8" s="38">
        <v>589</v>
      </c>
      <c r="C8" s="38">
        <v>66.150000000000006</v>
      </c>
      <c r="E8" s="38">
        <v>502</v>
      </c>
      <c r="F8" s="38">
        <v>69.462999999999994</v>
      </c>
      <c r="H8" s="38">
        <v>478</v>
      </c>
      <c r="I8" s="38">
        <v>69.319999999999993</v>
      </c>
      <c r="K8" s="38">
        <v>605</v>
      </c>
      <c r="L8" s="38">
        <v>69.594999999999999</v>
      </c>
      <c r="N8" s="38">
        <v>582</v>
      </c>
      <c r="O8" s="38">
        <v>66.209000000000003</v>
      </c>
      <c r="Q8" s="52">
        <v>508</v>
      </c>
      <c r="R8" s="53">
        <v>65.052000000000007</v>
      </c>
      <c r="T8" s="53">
        <v>611</v>
      </c>
      <c r="U8" s="53">
        <v>60.92</v>
      </c>
      <c r="W8" s="53">
        <v>381</v>
      </c>
      <c r="X8" s="53">
        <v>62.671999999999997</v>
      </c>
      <c r="Z8" s="53">
        <v>435</v>
      </c>
      <c r="AA8" s="53">
        <v>54.95</v>
      </c>
      <c r="AC8" s="53">
        <v>484</v>
      </c>
      <c r="AD8" s="53">
        <v>58.22</v>
      </c>
      <c r="AF8" s="38">
        <v>698</v>
      </c>
      <c r="AG8" s="38">
        <v>60.326999999999998</v>
      </c>
      <c r="AI8" s="53">
        <v>518</v>
      </c>
      <c r="AJ8" s="53">
        <v>59.11</v>
      </c>
      <c r="AL8" s="53">
        <v>556</v>
      </c>
      <c r="AM8" s="53">
        <v>63.561</v>
      </c>
      <c r="AO8" s="38">
        <v>794</v>
      </c>
      <c r="AP8" s="38">
        <v>61.454000000000001</v>
      </c>
      <c r="AR8" s="38">
        <v>904</v>
      </c>
      <c r="AS8" s="38">
        <v>64.364000000000004</v>
      </c>
      <c r="AU8" s="53">
        <v>808</v>
      </c>
      <c r="AV8" s="53">
        <v>65.262</v>
      </c>
      <c r="AX8" s="53">
        <v>541</v>
      </c>
      <c r="AY8" s="53">
        <v>61.561</v>
      </c>
      <c r="BA8" s="38">
        <v>590</v>
      </c>
      <c r="BB8" s="38">
        <v>60.542999999999999</v>
      </c>
      <c r="BD8" s="38">
        <v>781</v>
      </c>
      <c r="BE8" s="38">
        <v>65.448999999999998</v>
      </c>
      <c r="BG8" s="53">
        <v>744</v>
      </c>
      <c r="BH8" s="53">
        <v>63.023000000000003</v>
      </c>
      <c r="BJ8" s="38">
        <v>600</v>
      </c>
      <c r="BK8" s="38">
        <v>55.578000000000003</v>
      </c>
      <c r="BM8" s="38">
        <v>583</v>
      </c>
      <c r="BN8" s="38">
        <v>65.010999999999996</v>
      </c>
      <c r="BP8" s="38">
        <v>483</v>
      </c>
      <c r="BQ8" s="38">
        <v>57.244</v>
      </c>
      <c r="BR8" s="64"/>
      <c r="BS8" s="38">
        <f t="shared" ref="BS8:BS39" si="0">CK27-$CK$26+$BS$7</f>
        <v>781</v>
      </c>
      <c r="BT8" s="38">
        <v>65.790000000000006</v>
      </c>
      <c r="BV8" s="53">
        <v>649</v>
      </c>
      <c r="BW8" s="53">
        <v>67.054000000000002</v>
      </c>
      <c r="BY8" s="52">
        <v>888</v>
      </c>
      <c r="BZ8" s="52">
        <v>68.793000000000006</v>
      </c>
      <c r="CB8" s="38">
        <v>460</v>
      </c>
      <c r="CC8" s="38">
        <v>66.402000000000001</v>
      </c>
      <c r="CE8" s="38">
        <v>598</v>
      </c>
      <c r="CF8" s="38">
        <v>65.344999999999999</v>
      </c>
      <c r="CH8" s="38">
        <v>662</v>
      </c>
      <c r="CI8" s="38">
        <v>65.703000000000003</v>
      </c>
      <c r="CK8" s="53">
        <v>503</v>
      </c>
      <c r="CL8" s="53">
        <v>65.081999999999994</v>
      </c>
      <c r="CN8" s="38">
        <v>541</v>
      </c>
      <c r="CO8" s="38">
        <v>66.709000000000003</v>
      </c>
    </row>
    <row r="9" spans="2:96" x14ac:dyDescent="0.35">
      <c r="B9" s="38">
        <v>737</v>
      </c>
      <c r="C9" s="38">
        <v>66.021000000000001</v>
      </c>
      <c r="E9" s="38">
        <v>607</v>
      </c>
      <c r="F9" s="38">
        <v>69.7</v>
      </c>
      <c r="H9" s="38">
        <v>987</v>
      </c>
      <c r="I9" s="38">
        <v>67.572000000000003</v>
      </c>
      <c r="K9" s="38">
        <v>704</v>
      </c>
      <c r="L9" s="38">
        <v>69.453000000000003</v>
      </c>
      <c r="M9" s="19" t="s">
        <v>119</v>
      </c>
      <c r="N9" s="9">
        <v>675</v>
      </c>
      <c r="O9" s="9">
        <v>66.623000000000005</v>
      </c>
      <c r="Q9" s="52">
        <v>622</v>
      </c>
      <c r="R9" s="53">
        <v>65.006</v>
      </c>
      <c r="T9" s="53">
        <v>708</v>
      </c>
      <c r="U9" s="53">
        <v>61.677</v>
      </c>
      <c r="W9" s="53">
        <v>486</v>
      </c>
      <c r="X9" s="53">
        <v>62.43</v>
      </c>
      <c r="Y9" s="19" t="s">
        <v>119</v>
      </c>
      <c r="Z9" s="39">
        <v>525</v>
      </c>
      <c r="AA9" s="39">
        <v>55.780999999999999</v>
      </c>
      <c r="AC9" s="53">
        <v>584</v>
      </c>
      <c r="AD9" s="53">
        <v>58.564999999999998</v>
      </c>
      <c r="AF9" s="38">
        <v>797</v>
      </c>
      <c r="AG9" s="38">
        <v>59.204999999999998</v>
      </c>
      <c r="AI9" s="53">
        <v>633</v>
      </c>
      <c r="AJ9" s="53">
        <v>59.698</v>
      </c>
      <c r="AL9" s="53">
        <v>658</v>
      </c>
      <c r="AM9" s="53">
        <v>63.22</v>
      </c>
      <c r="AO9" s="38">
        <v>935</v>
      </c>
      <c r="AP9" s="38">
        <v>61.808</v>
      </c>
      <c r="AR9" s="38">
        <v>1074</v>
      </c>
      <c r="AS9" s="38">
        <v>62.332000000000001</v>
      </c>
      <c r="AU9" s="53">
        <v>1087</v>
      </c>
      <c r="AV9" s="53">
        <v>61.53</v>
      </c>
      <c r="AX9" s="53">
        <v>643</v>
      </c>
      <c r="AY9" s="53">
        <v>61.866</v>
      </c>
      <c r="BA9" s="38">
        <v>691</v>
      </c>
      <c r="BB9" s="38">
        <v>61.304000000000002</v>
      </c>
      <c r="BD9" s="38">
        <v>885</v>
      </c>
      <c r="BE9" s="38">
        <v>65.739999999999995</v>
      </c>
      <c r="BG9" s="53">
        <v>852</v>
      </c>
      <c r="BH9" s="53">
        <v>64.102000000000004</v>
      </c>
      <c r="BJ9" s="38">
        <v>697</v>
      </c>
      <c r="BK9" s="38">
        <v>55.116</v>
      </c>
      <c r="BM9" s="38">
        <v>727</v>
      </c>
      <c r="BN9" s="38">
        <v>62.656999999999996</v>
      </c>
      <c r="BP9" s="38">
        <v>606</v>
      </c>
      <c r="BQ9" s="38">
        <v>60.307000000000002</v>
      </c>
      <c r="BR9" s="64"/>
      <c r="BS9" s="38">
        <f t="shared" si="0"/>
        <v>993</v>
      </c>
      <c r="BT9" s="38">
        <v>66.569999999999993</v>
      </c>
      <c r="BV9" s="53">
        <v>1120</v>
      </c>
      <c r="BW9" s="53">
        <v>67.471000000000004</v>
      </c>
      <c r="BY9" s="52">
        <v>1001</v>
      </c>
      <c r="BZ9" s="52">
        <v>68.87</v>
      </c>
      <c r="CB9" s="38">
        <v>540</v>
      </c>
      <c r="CC9" s="38">
        <v>66.209000000000003</v>
      </c>
      <c r="CE9" s="38">
        <v>700</v>
      </c>
      <c r="CF9" s="38">
        <v>66.010000000000005</v>
      </c>
      <c r="CH9" s="38">
        <v>759</v>
      </c>
      <c r="CI9" s="38">
        <v>65.887</v>
      </c>
      <c r="CK9" s="53">
        <v>619</v>
      </c>
      <c r="CL9" s="53">
        <v>66.206999999999994</v>
      </c>
      <c r="CN9" s="38">
        <v>645</v>
      </c>
      <c r="CO9" s="38">
        <v>67.384</v>
      </c>
    </row>
    <row r="10" spans="2:96" x14ac:dyDescent="0.35">
      <c r="B10" s="38">
        <v>874</v>
      </c>
      <c r="C10" s="38">
        <v>65.909000000000006</v>
      </c>
      <c r="E10" s="38">
        <v>703</v>
      </c>
      <c r="F10" s="38">
        <v>69.727000000000004</v>
      </c>
      <c r="H10" s="38">
        <v>1104</v>
      </c>
      <c r="I10" s="38">
        <v>68.072000000000003</v>
      </c>
      <c r="K10" s="38">
        <v>803</v>
      </c>
      <c r="L10" s="38">
        <v>67.123000000000005</v>
      </c>
      <c r="N10" s="38">
        <v>782</v>
      </c>
      <c r="O10" s="38">
        <v>67.611999999999995</v>
      </c>
      <c r="Q10" s="52">
        <v>851</v>
      </c>
      <c r="R10" s="53">
        <v>65.789000000000001</v>
      </c>
      <c r="T10" s="53">
        <v>814</v>
      </c>
      <c r="U10" s="53">
        <v>61.652000000000001</v>
      </c>
      <c r="W10" s="53">
        <v>597</v>
      </c>
      <c r="X10" s="53">
        <v>62.314999999999998</v>
      </c>
      <c r="Z10" s="53">
        <v>605</v>
      </c>
      <c r="AA10" s="53">
        <v>56.817999999999998</v>
      </c>
      <c r="AC10" s="53">
        <v>758</v>
      </c>
      <c r="AD10" s="53">
        <v>60.6</v>
      </c>
      <c r="AF10" s="38">
        <v>900</v>
      </c>
      <c r="AG10" s="38">
        <v>59.536000000000001</v>
      </c>
      <c r="AI10" s="53">
        <v>898</v>
      </c>
      <c r="AJ10" s="53">
        <v>60.883000000000003</v>
      </c>
      <c r="AL10" s="53">
        <v>765</v>
      </c>
      <c r="AM10" s="53">
        <v>62.878999999999998</v>
      </c>
      <c r="AO10" s="38">
        <v>1037</v>
      </c>
      <c r="AP10" s="38">
        <v>62.051000000000002</v>
      </c>
      <c r="AR10" s="38">
        <v>1300</v>
      </c>
      <c r="AS10" s="38">
        <v>61.500999999999998</v>
      </c>
      <c r="AU10" s="53">
        <v>1312</v>
      </c>
      <c r="AV10" s="53">
        <v>62.499000000000002</v>
      </c>
      <c r="AX10" s="53">
        <v>766</v>
      </c>
      <c r="AY10" s="53">
        <v>62.012999999999998</v>
      </c>
      <c r="BA10" s="38">
        <v>812</v>
      </c>
      <c r="BB10" s="38">
        <v>61.749000000000002</v>
      </c>
      <c r="BD10" s="38">
        <v>988</v>
      </c>
      <c r="BE10" s="38">
        <v>66.206999999999994</v>
      </c>
      <c r="BG10" s="53">
        <v>954</v>
      </c>
      <c r="BH10" s="53">
        <v>64.343000000000004</v>
      </c>
      <c r="BJ10" s="38">
        <v>891</v>
      </c>
      <c r="BK10" s="38">
        <v>56.881</v>
      </c>
      <c r="BM10" s="38">
        <v>856</v>
      </c>
      <c r="BN10" s="38">
        <v>58.314</v>
      </c>
      <c r="BP10" s="38">
        <v>688</v>
      </c>
      <c r="BQ10" s="38">
        <v>61.491999999999997</v>
      </c>
      <c r="BR10" s="64"/>
      <c r="BS10" s="38">
        <f t="shared" si="0"/>
        <v>1107</v>
      </c>
      <c r="BT10" s="38">
        <v>65.432000000000002</v>
      </c>
      <c r="BV10" s="53">
        <v>1536</v>
      </c>
      <c r="BW10" s="53">
        <v>69.091999999999999</v>
      </c>
      <c r="BY10" s="52">
        <v>1097</v>
      </c>
      <c r="BZ10" s="52">
        <v>69.656999999999996</v>
      </c>
      <c r="CB10" s="38">
        <v>650</v>
      </c>
      <c r="CC10" s="38">
        <v>65.781000000000006</v>
      </c>
      <c r="CE10" s="38">
        <v>904</v>
      </c>
      <c r="CF10" s="38">
        <v>67.715000000000003</v>
      </c>
      <c r="CH10" s="38">
        <v>864</v>
      </c>
      <c r="CI10" s="38">
        <v>64.745000000000005</v>
      </c>
      <c r="CK10" s="53">
        <v>688</v>
      </c>
      <c r="CL10" s="53">
        <v>66.010999999999996</v>
      </c>
      <c r="CN10" s="38">
        <v>835</v>
      </c>
      <c r="CO10" s="38">
        <v>68.341999999999999</v>
      </c>
    </row>
    <row r="11" spans="2:96" x14ac:dyDescent="0.35">
      <c r="B11" s="38">
        <v>1010</v>
      </c>
      <c r="C11" s="38">
        <v>67.117999999999995</v>
      </c>
      <c r="E11" s="38">
        <v>934</v>
      </c>
      <c r="F11" s="38">
        <v>70.334000000000003</v>
      </c>
      <c r="H11" s="38">
        <v>1178</v>
      </c>
      <c r="I11" s="38">
        <v>68.153000000000006</v>
      </c>
      <c r="K11" s="38">
        <v>899</v>
      </c>
      <c r="L11" s="38">
        <v>66.965000000000003</v>
      </c>
      <c r="N11" s="38">
        <v>878</v>
      </c>
      <c r="O11" s="38">
        <v>67.644000000000005</v>
      </c>
      <c r="Q11" s="52">
        <v>1054</v>
      </c>
      <c r="R11" s="53">
        <v>65.206000000000003</v>
      </c>
      <c r="T11" s="53">
        <v>912</v>
      </c>
      <c r="U11" s="53">
        <v>62.41</v>
      </c>
      <c r="V11" s="13" t="s">
        <v>119</v>
      </c>
      <c r="W11" s="40">
        <v>751</v>
      </c>
      <c r="X11" s="40">
        <v>58.408000000000001</v>
      </c>
      <c r="Z11" s="53">
        <v>665</v>
      </c>
      <c r="AA11" s="53">
        <v>56.988</v>
      </c>
      <c r="AC11" s="53">
        <v>851</v>
      </c>
      <c r="AD11" s="53">
        <v>60.329000000000001</v>
      </c>
      <c r="AF11" s="38">
        <v>1003</v>
      </c>
      <c r="AG11" s="38">
        <v>58.862000000000002</v>
      </c>
      <c r="AI11" s="53">
        <v>1020</v>
      </c>
      <c r="AJ11" s="53">
        <v>61.962000000000003</v>
      </c>
      <c r="AL11" s="53">
        <v>888</v>
      </c>
      <c r="AM11" s="53">
        <v>62.555</v>
      </c>
      <c r="AO11" s="38">
        <v>1238</v>
      </c>
      <c r="AP11" s="38">
        <v>62.76</v>
      </c>
      <c r="AR11" s="38">
        <v>1496</v>
      </c>
      <c r="AS11" s="38">
        <v>61.822000000000003</v>
      </c>
      <c r="AU11" s="53">
        <v>1515</v>
      </c>
      <c r="AV11" s="53">
        <v>66.326999999999998</v>
      </c>
      <c r="AX11" s="53">
        <v>870</v>
      </c>
      <c r="AY11" s="53">
        <v>62.262</v>
      </c>
      <c r="BA11" s="38">
        <v>1014</v>
      </c>
      <c r="BB11" s="38">
        <v>60.527000000000001</v>
      </c>
      <c r="BD11" s="38">
        <v>1090</v>
      </c>
      <c r="BE11" s="38">
        <v>65.536000000000001</v>
      </c>
      <c r="BG11" s="53">
        <v>1093</v>
      </c>
      <c r="BH11" s="53">
        <v>64.602999999999994</v>
      </c>
      <c r="BJ11" s="38">
        <v>1044</v>
      </c>
      <c r="BK11" s="38">
        <v>56.704000000000001</v>
      </c>
      <c r="BM11" s="38">
        <v>993</v>
      </c>
      <c r="BN11" s="38">
        <v>57.005000000000003</v>
      </c>
      <c r="BP11" s="38">
        <v>941</v>
      </c>
      <c r="BQ11" s="38">
        <v>63.72</v>
      </c>
      <c r="BR11" s="64"/>
      <c r="BS11" s="38">
        <f t="shared" si="0"/>
        <v>1274</v>
      </c>
      <c r="BT11" s="38">
        <v>63.9</v>
      </c>
      <c r="BV11" s="53">
        <v>1616</v>
      </c>
      <c r="BW11" s="53">
        <v>68.442999999999998</v>
      </c>
      <c r="BY11" s="52">
        <v>1387</v>
      </c>
      <c r="BZ11" s="52">
        <v>68.427999999999997</v>
      </c>
      <c r="CB11" s="38">
        <v>788</v>
      </c>
      <c r="CC11" s="38">
        <v>66.738</v>
      </c>
      <c r="CE11" s="38">
        <v>1416</v>
      </c>
      <c r="CF11" s="38">
        <v>66.906999999999996</v>
      </c>
      <c r="CH11" s="38">
        <v>966</v>
      </c>
      <c r="CI11" s="38">
        <v>64.366</v>
      </c>
      <c r="CK11" s="53">
        <v>819</v>
      </c>
      <c r="CL11" s="53">
        <v>65.838999999999999</v>
      </c>
      <c r="CN11" s="38">
        <v>949</v>
      </c>
      <c r="CO11" s="38">
        <v>68.302999999999997</v>
      </c>
    </row>
    <row r="12" spans="2:96" x14ac:dyDescent="0.35">
      <c r="B12" s="38">
        <v>1121</v>
      </c>
      <c r="C12" s="38">
        <v>66.23</v>
      </c>
      <c r="E12" s="38">
        <v>1027</v>
      </c>
      <c r="F12" s="38">
        <v>70.887</v>
      </c>
      <c r="H12" s="38">
        <v>1247</v>
      </c>
      <c r="I12" s="38">
        <v>68.462999999999994</v>
      </c>
      <c r="K12" s="38">
        <v>1006</v>
      </c>
      <c r="L12" s="38">
        <v>66.364999999999995</v>
      </c>
      <c r="N12" s="38">
        <v>983</v>
      </c>
      <c r="O12" s="38">
        <v>67.12</v>
      </c>
      <c r="Q12" s="52">
        <v>1164</v>
      </c>
      <c r="R12" s="53">
        <v>64.930000000000007</v>
      </c>
      <c r="T12" s="53">
        <v>1012</v>
      </c>
      <c r="U12" s="53">
        <v>61.802</v>
      </c>
      <c r="W12" s="40">
        <v>810</v>
      </c>
      <c r="X12" s="40">
        <v>57.813000000000002</v>
      </c>
      <c r="Z12" s="53">
        <v>777</v>
      </c>
      <c r="AA12" s="53">
        <v>57.32</v>
      </c>
      <c r="AC12" s="53">
        <v>1053</v>
      </c>
      <c r="AD12" s="53">
        <v>62.353000000000002</v>
      </c>
      <c r="AF12" s="38">
        <v>1100</v>
      </c>
      <c r="AG12" s="38">
        <v>58.548000000000002</v>
      </c>
      <c r="AI12" s="53">
        <v>1079</v>
      </c>
      <c r="AJ12" s="53">
        <v>62.006</v>
      </c>
      <c r="AL12" s="53">
        <v>986</v>
      </c>
      <c r="AM12" s="53">
        <v>63.654000000000003</v>
      </c>
      <c r="AO12" s="38">
        <v>1340</v>
      </c>
      <c r="AP12" s="38">
        <v>62.835999999999999</v>
      </c>
      <c r="AQ12" s="19" t="s">
        <v>119</v>
      </c>
      <c r="AR12" s="39">
        <v>1718</v>
      </c>
      <c r="AS12" s="39">
        <v>63.222000000000001</v>
      </c>
      <c r="AU12" s="53">
        <v>1714</v>
      </c>
      <c r="AV12" s="53">
        <v>64.391999999999996</v>
      </c>
      <c r="AX12" s="53">
        <v>931</v>
      </c>
      <c r="AY12" s="53">
        <v>62.194000000000003</v>
      </c>
      <c r="BA12" s="38">
        <v>1110</v>
      </c>
      <c r="BB12" s="38">
        <v>59.402000000000001</v>
      </c>
      <c r="BD12" s="38">
        <v>1228</v>
      </c>
      <c r="BE12" s="38">
        <v>64.197999999999993</v>
      </c>
      <c r="BG12" s="53">
        <v>1285</v>
      </c>
      <c r="BH12" s="53">
        <v>63.548999999999999</v>
      </c>
      <c r="BJ12" s="38">
        <v>1153</v>
      </c>
      <c r="BK12" s="38">
        <v>57.048999999999999</v>
      </c>
      <c r="BM12" s="38">
        <v>1106</v>
      </c>
      <c r="BN12" s="38">
        <v>57.572000000000003</v>
      </c>
      <c r="BP12" s="38">
        <v>1063</v>
      </c>
      <c r="BQ12" s="38">
        <v>65.218000000000004</v>
      </c>
      <c r="BR12" s="64"/>
      <c r="BS12" s="38">
        <f t="shared" si="0"/>
        <v>1483</v>
      </c>
      <c r="BT12" s="38">
        <v>62.854999999999997</v>
      </c>
      <c r="BV12" s="53">
        <v>1934</v>
      </c>
      <c r="BW12" s="53">
        <v>69.370999999999995</v>
      </c>
      <c r="BY12" s="52">
        <v>1644</v>
      </c>
      <c r="BZ12" s="52">
        <v>67.786000000000001</v>
      </c>
      <c r="CB12" s="38">
        <v>887</v>
      </c>
      <c r="CC12" s="38">
        <v>67.498000000000005</v>
      </c>
      <c r="CE12" s="38">
        <v>1520</v>
      </c>
      <c r="CF12" s="38">
        <v>67.013000000000005</v>
      </c>
      <c r="CH12" s="38">
        <v>1201</v>
      </c>
      <c r="CI12" s="38">
        <v>66.945999999999998</v>
      </c>
      <c r="CK12" s="53">
        <v>940</v>
      </c>
      <c r="CL12" s="53">
        <v>66.256</v>
      </c>
      <c r="CN12" s="38">
        <v>1098</v>
      </c>
      <c r="CO12" s="38">
        <v>68.677999999999997</v>
      </c>
    </row>
    <row r="13" spans="2:96" x14ac:dyDescent="0.35">
      <c r="B13" s="38">
        <v>1375</v>
      </c>
      <c r="C13" s="38">
        <v>65.614000000000004</v>
      </c>
      <c r="E13" s="38">
        <v>1127</v>
      </c>
      <c r="F13" s="38">
        <v>70.864999999999995</v>
      </c>
      <c r="H13" s="38">
        <v>1387</v>
      </c>
      <c r="I13" s="38">
        <v>68.228999999999999</v>
      </c>
      <c r="K13" s="38">
        <v>1113</v>
      </c>
      <c r="L13" s="38">
        <v>65.716999999999999</v>
      </c>
      <c r="N13" s="38">
        <v>1088</v>
      </c>
      <c r="O13" s="38">
        <v>69.661000000000001</v>
      </c>
      <c r="P13" s="13" t="s">
        <v>110</v>
      </c>
      <c r="Q13" s="27">
        <v>1362</v>
      </c>
      <c r="R13" s="40">
        <v>64.137</v>
      </c>
      <c r="T13" s="53">
        <v>1111</v>
      </c>
      <c r="U13" s="53">
        <v>60.332999999999998</v>
      </c>
      <c r="W13" s="53">
        <v>917</v>
      </c>
      <c r="X13" s="53">
        <v>58.256</v>
      </c>
      <c r="Z13" s="53">
        <v>870</v>
      </c>
      <c r="AA13" s="53">
        <v>58.2</v>
      </c>
      <c r="AC13" s="53">
        <v>1150</v>
      </c>
      <c r="AD13" s="53">
        <v>62.927</v>
      </c>
      <c r="AF13" s="38">
        <v>1198</v>
      </c>
      <c r="AG13" s="38">
        <v>57.707999999999998</v>
      </c>
      <c r="AI13" s="53">
        <v>1212</v>
      </c>
      <c r="AJ13" s="53">
        <v>61.758000000000003</v>
      </c>
      <c r="AL13" s="53">
        <v>1088</v>
      </c>
      <c r="AM13" s="53">
        <v>63.24</v>
      </c>
      <c r="AO13" s="38">
        <v>1563</v>
      </c>
      <c r="AP13" s="38">
        <v>63.762</v>
      </c>
      <c r="AR13" s="38">
        <v>1880</v>
      </c>
      <c r="AS13" s="38">
        <v>65.105999999999995</v>
      </c>
      <c r="AU13" s="53">
        <v>1926</v>
      </c>
      <c r="AV13" s="53">
        <v>62.634</v>
      </c>
      <c r="AX13" s="53">
        <v>1026</v>
      </c>
      <c r="AY13" s="53">
        <v>62.185000000000002</v>
      </c>
      <c r="BA13" s="38">
        <v>1218</v>
      </c>
      <c r="BB13" s="38">
        <v>59.972999999999999</v>
      </c>
      <c r="BD13" s="38">
        <v>1431</v>
      </c>
      <c r="BE13" s="38">
        <v>64.210999999999999</v>
      </c>
      <c r="BG13" s="53">
        <v>1345</v>
      </c>
      <c r="BH13" s="53">
        <v>64.203999999999994</v>
      </c>
      <c r="BJ13" s="38">
        <v>1195</v>
      </c>
      <c r="BK13" s="38">
        <v>57.274999999999999</v>
      </c>
      <c r="BL13" s="13" t="s">
        <v>119</v>
      </c>
      <c r="BM13" s="40">
        <v>1250</v>
      </c>
      <c r="BN13" s="40">
        <v>55.024000000000001</v>
      </c>
      <c r="BP13" s="38">
        <v>1165</v>
      </c>
      <c r="BQ13" s="38">
        <v>65.754999999999995</v>
      </c>
      <c r="BR13" s="64"/>
      <c r="BS13" s="38">
        <f t="shared" si="0"/>
        <v>1558</v>
      </c>
      <c r="BT13" s="38">
        <v>62.280999999999999</v>
      </c>
      <c r="BV13" s="53">
        <v>2069</v>
      </c>
      <c r="BW13" s="53">
        <v>68.551000000000002</v>
      </c>
      <c r="BY13" s="52">
        <v>1907</v>
      </c>
      <c r="BZ13" s="52">
        <v>66.888999999999996</v>
      </c>
      <c r="CB13" s="38">
        <v>968</v>
      </c>
      <c r="CC13" s="38">
        <v>67.003</v>
      </c>
      <c r="CE13" s="38">
        <v>1634</v>
      </c>
      <c r="CF13" s="38">
        <v>66.400000000000006</v>
      </c>
      <c r="CH13" s="38">
        <v>1302</v>
      </c>
      <c r="CI13" s="38">
        <v>67.307000000000002</v>
      </c>
      <c r="CK13" s="53">
        <v>1033</v>
      </c>
      <c r="CL13" s="53">
        <v>66.793999999999997</v>
      </c>
      <c r="CN13" s="38">
        <v>1202</v>
      </c>
      <c r="CO13" s="38">
        <v>68.347999999999999</v>
      </c>
    </row>
    <row r="14" spans="2:96" x14ac:dyDescent="0.35">
      <c r="B14" s="38">
        <v>1463</v>
      </c>
      <c r="C14" s="38">
        <v>65.103999999999999</v>
      </c>
      <c r="E14" s="38">
        <v>1256</v>
      </c>
      <c r="F14" s="38">
        <v>69.665999999999997</v>
      </c>
      <c r="H14" s="38">
        <v>1500</v>
      </c>
      <c r="I14" s="38">
        <v>67.674000000000007</v>
      </c>
      <c r="K14" s="38">
        <v>1299</v>
      </c>
      <c r="L14" s="38">
        <v>66.453999999999994</v>
      </c>
      <c r="N14" s="38">
        <v>1372</v>
      </c>
      <c r="O14" s="38">
        <v>67.429000000000002</v>
      </c>
      <c r="Q14" s="52">
        <v>1564</v>
      </c>
      <c r="R14" s="53">
        <v>64.968000000000004</v>
      </c>
      <c r="T14" s="53">
        <v>1214</v>
      </c>
      <c r="U14" s="53">
        <v>59.7</v>
      </c>
      <c r="W14" s="53">
        <v>1019</v>
      </c>
      <c r="X14" s="53">
        <v>58.652999999999999</v>
      </c>
      <c r="Z14" s="53">
        <v>1070</v>
      </c>
      <c r="AA14" s="53">
        <v>57.201000000000001</v>
      </c>
      <c r="AC14" s="53">
        <v>1277</v>
      </c>
      <c r="AD14" s="53">
        <v>63.232999999999997</v>
      </c>
      <c r="AF14" s="38">
        <v>1237</v>
      </c>
      <c r="AG14" s="38">
        <v>57.515999999999998</v>
      </c>
      <c r="AI14" s="53">
        <v>1496</v>
      </c>
      <c r="AJ14" s="53">
        <v>62.661000000000001</v>
      </c>
      <c r="AL14" s="53">
        <v>1189</v>
      </c>
      <c r="AM14" s="53">
        <v>62.978000000000002</v>
      </c>
      <c r="AO14" s="38">
        <v>1673</v>
      </c>
      <c r="AP14" s="38">
        <v>63.561</v>
      </c>
      <c r="AR14" s="38">
        <v>2067</v>
      </c>
      <c r="AS14" s="38">
        <v>64.787999999999997</v>
      </c>
      <c r="AT14" s="13" t="s">
        <v>119</v>
      </c>
      <c r="AU14" s="40">
        <v>2063</v>
      </c>
      <c r="AV14" s="40">
        <v>61.773000000000003</v>
      </c>
      <c r="AX14" s="53">
        <v>1121</v>
      </c>
      <c r="AY14" s="53">
        <v>61.250999999999998</v>
      </c>
      <c r="BA14" s="38">
        <v>1307</v>
      </c>
      <c r="BB14" s="38">
        <v>59.320999999999998</v>
      </c>
      <c r="BD14" s="38">
        <v>1560</v>
      </c>
      <c r="BE14" s="38">
        <v>62.634</v>
      </c>
      <c r="BG14" s="53">
        <v>1395</v>
      </c>
      <c r="BH14" s="53">
        <v>63.914999999999999</v>
      </c>
      <c r="BJ14" s="38">
        <v>1305</v>
      </c>
      <c r="BK14" s="38">
        <v>57.284999999999997</v>
      </c>
      <c r="BM14" s="40">
        <v>1330</v>
      </c>
      <c r="BN14" s="40">
        <v>56.68</v>
      </c>
      <c r="BP14" s="38">
        <v>1362</v>
      </c>
      <c r="BQ14" s="38">
        <v>68.658000000000001</v>
      </c>
      <c r="BR14" s="64"/>
      <c r="BS14" s="38">
        <f t="shared" si="0"/>
        <v>1720</v>
      </c>
      <c r="BT14" s="38">
        <v>62.563000000000002</v>
      </c>
      <c r="BV14" s="53">
        <v>2243</v>
      </c>
      <c r="BW14" s="53">
        <v>68.212000000000003</v>
      </c>
      <c r="BY14" s="52">
        <v>2066</v>
      </c>
      <c r="BZ14" s="52">
        <v>67.501999999999995</v>
      </c>
      <c r="CB14" s="38">
        <v>1066</v>
      </c>
      <c r="CC14" s="38">
        <v>67.123000000000005</v>
      </c>
      <c r="CE14" s="38">
        <v>1854</v>
      </c>
      <c r="CF14" s="38">
        <v>67.992000000000004</v>
      </c>
      <c r="CH14" s="38">
        <v>1401</v>
      </c>
      <c r="CI14" s="38">
        <v>66.222999999999999</v>
      </c>
      <c r="CK14" s="53">
        <v>1142</v>
      </c>
      <c r="CL14" s="53">
        <v>67.126999999999995</v>
      </c>
      <c r="CN14" s="38">
        <v>1304</v>
      </c>
      <c r="CO14" s="38">
        <v>68.466999999999999</v>
      </c>
    </row>
    <row r="15" spans="2:96" x14ac:dyDescent="0.35">
      <c r="B15" s="38">
        <v>1569</v>
      </c>
      <c r="C15" s="38">
        <v>65.480999999999995</v>
      </c>
      <c r="E15" s="38">
        <v>1369</v>
      </c>
      <c r="F15" s="38">
        <v>68.808000000000007</v>
      </c>
      <c r="H15" s="38">
        <v>1593</v>
      </c>
      <c r="I15" s="38">
        <v>66.897999999999996</v>
      </c>
      <c r="K15" s="38">
        <v>1407</v>
      </c>
      <c r="L15" s="38">
        <v>66.125</v>
      </c>
      <c r="N15" s="38">
        <v>1510</v>
      </c>
      <c r="O15" s="38">
        <v>67.123999999999995</v>
      </c>
      <c r="Q15" s="52">
        <v>1647</v>
      </c>
      <c r="R15" s="53">
        <v>65.108999999999995</v>
      </c>
      <c r="T15" s="53">
        <v>1330</v>
      </c>
      <c r="U15" s="53">
        <v>58.25</v>
      </c>
      <c r="W15" s="53">
        <v>1122</v>
      </c>
      <c r="X15" s="53">
        <v>59.332000000000001</v>
      </c>
      <c r="Z15" s="53">
        <v>1158</v>
      </c>
      <c r="AA15" s="53">
        <v>57.607999999999997</v>
      </c>
      <c r="AC15" s="53">
        <v>1373</v>
      </c>
      <c r="AD15" s="53">
        <v>63.561</v>
      </c>
      <c r="AF15" s="38">
        <v>1355</v>
      </c>
      <c r="AG15" s="38">
        <v>56.67</v>
      </c>
      <c r="AI15" s="53">
        <v>1597</v>
      </c>
      <c r="AJ15" s="53">
        <v>62.459000000000003</v>
      </c>
      <c r="AL15" s="53">
        <v>1386</v>
      </c>
      <c r="AM15" s="53">
        <v>63.68</v>
      </c>
      <c r="AO15" s="38">
        <v>1766</v>
      </c>
      <c r="AP15" s="38">
        <v>63.292000000000002</v>
      </c>
      <c r="AR15" s="38">
        <v>2284</v>
      </c>
      <c r="AS15" s="38">
        <v>62.165999999999997</v>
      </c>
      <c r="AU15" s="40">
        <v>2108</v>
      </c>
      <c r="AV15" s="40">
        <v>61.811</v>
      </c>
      <c r="AX15" s="53">
        <v>1218</v>
      </c>
      <c r="AY15" s="53">
        <v>63.210999999999999</v>
      </c>
      <c r="BA15" s="38">
        <v>1412</v>
      </c>
      <c r="BB15" s="38">
        <v>59.808999999999997</v>
      </c>
      <c r="BC15" s="19" t="s">
        <v>119</v>
      </c>
      <c r="BD15" s="39">
        <v>1706</v>
      </c>
      <c r="BE15" s="39">
        <v>61.773000000000003</v>
      </c>
      <c r="BG15" s="53">
        <v>1624</v>
      </c>
      <c r="BH15" s="53">
        <v>61.851999999999997</v>
      </c>
      <c r="BJ15" s="38">
        <v>1418</v>
      </c>
      <c r="BK15" s="38">
        <v>56.256999999999998</v>
      </c>
      <c r="BM15" s="38">
        <v>1493</v>
      </c>
      <c r="BN15" s="38">
        <v>57.807000000000002</v>
      </c>
      <c r="BP15" s="38">
        <v>1564</v>
      </c>
      <c r="BQ15" s="38">
        <v>68.722999999999999</v>
      </c>
      <c r="BR15" s="64"/>
      <c r="BS15" s="38">
        <f t="shared" si="0"/>
        <v>1998</v>
      </c>
      <c r="BT15" s="38">
        <v>62.679000000000002</v>
      </c>
      <c r="BV15" s="53">
        <v>2478</v>
      </c>
      <c r="BW15" s="53">
        <v>61.488</v>
      </c>
      <c r="BY15" s="52">
        <v>2296</v>
      </c>
      <c r="BZ15" s="52">
        <v>66.444999999999993</v>
      </c>
      <c r="CB15" s="38">
        <v>1139</v>
      </c>
      <c r="CC15" s="38">
        <v>67.088999999999999</v>
      </c>
      <c r="CE15" s="38">
        <v>1963</v>
      </c>
      <c r="CF15" s="38">
        <v>67.748000000000005</v>
      </c>
      <c r="CH15" s="38">
        <v>1817</v>
      </c>
      <c r="CI15" s="38">
        <v>66.572000000000003</v>
      </c>
      <c r="CK15" s="53">
        <v>1243</v>
      </c>
      <c r="CL15" s="53">
        <v>68.210999999999999</v>
      </c>
      <c r="CN15" s="38">
        <v>1406</v>
      </c>
      <c r="CO15" s="38">
        <v>68.111000000000004</v>
      </c>
    </row>
    <row r="16" spans="2:96" x14ac:dyDescent="0.35">
      <c r="B16" s="38">
        <v>1671</v>
      </c>
      <c r="C16" s="38">
        <v>65.722999999999999</v>
      </c>
      <c r="E16" s="38">
        <v>1469</v>
      </c>
      <c r="F16" s="38">
        <v>69.099999999999994</v>
      </c>
      <c r="G16" s="19" t="s">
        <v>119</v>
      </c>
      <c r="H16" s="39">
        <v>1753</v>
      </c>
      <c r="I16" s="39">
        <v>67.662999999999997</v>
      </c>
      <c r="K16" s="38">
        <v>1498</v>
      </c>
      <c r="L16" s="38">
        <v>68.295000000000002</v>
      </c>
      <c r="N16" s="38">
        <v>1633</v>
      </c>
      <c r="O16" s="38">
        <v>67.884</v>
      </c>
      <c r="Q16" s="52">
        <v>1848</v>
      </c>
      <c r="R16" s="53">
        <v>65.677999999999997</v>
      </c>
      <c r="S16" s="19" t="s">
        <v>64</v>
      </c>
      <c r="T16" s="39">
        <v>1506</v>
      </c>
      <c r="U16" s="39">
        <v>58.433999999999997</v>
      </c>
      <c r="W16" s="53">
        <v>1222</v>
      </c>
      <c r="X16" s="53">
        <v>59.78</v>
      </c>
      <c r="Z16" s="53">
        <v>1202</v>
      </c>
      <c r="AA16" s="53">
        <v>58.627000000000002</v>
      </c>
      <c r="AC16" s="53">
        <v>1476</v>
      </c>
      <c r="AD16" s="53">
        <v>63.22</v>
      </c>
      <c r="AF16" s="38">
        <v>1499</v>
      </c>
      <c r="AG16" s="38">
        <v>55.283999999999999</v>
      </c>
      <c r="AI16" s="53">
        <v>1764</v>
      </c>
      <c r="AJ16" s="53">
        <v>63.6</v>
      </c>
      <c r="AL16" s="53">
        <v>1485</v>
      </c>
      <c r="AM16" s="53">
        <v>63.555</v>
      </c>
      <c r="AO16" s="38">
        <v>1860</v>
      </c>
      <c r="AP16" s="38">
        <v>62.216000000000001</v>
      </c>
      <c r="AR16" s="38">
        <v>2449</v>
      </c>
      <c r="AS16" s="38">
        <v>62.588999999999999</v>
      </c>
      <c r="AU16" s="53">
        <v>2415</v>
      </c>
      <c r="AV16" s="53">
        <v>65.266000000000005</v>
      </c>
      <c r="AX16" s="53">
        <v>1327</v>
      </c>
      <c r="AY16" s="53">
        <v>64.188000000000002</v>
      </c>
      <c r="BA16" s="38">
        <v>1514</v>
      </c>
      <c r="BB16" s="38">
        <v>60.220999999999997</v>
      </c>
      <c r="BD16" s="39">
        <v>1749</v>
      </c>
      <c r="BE16" s="39">
        <v>61.811</v>
      </c>
      <c r="BG16" s="53">
        <v>2076</v>
      </c>
      <c r="BH16" s="53">
        <v>62.145000000000003</v>
      </c>
      <c r="BI16" s="19" t="s">
        <v>119</v>
      </c>
      <c r="BJ16" s="39">
        <v>1527</v>
      </c>
      <c r="BK16" s="39">
        <v>57.215000000000003</v>
      </c>
      <c r="BM16" s="38">
        <v>1738</v>
      </c>
      <c r="BN16" s="38">
        <v>59.637</v>
      </c>
      <c r="BP16" s="38">
        <v>1709</v>
      </c>
      <c r="BQ16" s="38">
        <v>68.37</v>
      </c>
      <c r="BR16" s="64"/>
      <c r="BS16" s="38">
        <f t="shared" si="0"/>
        <v>2139</v>
      </c>
      <c r="BT16" s="38">
        <v>63.326000000000001</v>
      </c>
      <c r="BV16" s="53">
        <v>2603</v>
      </c>
      <c r="BW16" s="53">
        <v>60.106999999999999</v>
      </c>
      <c r="BY16" s="52">
        <v>2398</v>
      </c>
      <c r="BZ16" s="52">
        <v>66.385000000000005</v>
      </c>
      <c r="CB16" s="38">
        <v>1669</v>
      </c>
      <c r="CC16" s="38">
        <v>67.668999999999997</v>
      </c>
      <c r="CE16" s="38">
        <v>2070</v>
      </c>
      <c r="CF16" s="38">
        <v>67.703000000000003</v>
      </c>
      <c r="CH16" s="38">
        <v>2293</v>
      </c>
      <c r="CI16" s="38">
        <v>66.906999999999996</v>
      </c>
      <c r="CK16" s="53">
        <v>1712</v>
      </c>
      <c r="CL16" s="53">
        <v>68.551000000000002</v>
      </c>
      <c r="CN16" s="38">
        <v>1508</v>
      </c>
      <c r="CO16" s="38">
        <v>68.337000000000003</v>
      </c>
    </row>
    <row r="17" spans="1:93" x14ac:dyDescent="0.35">
      <c r="B17" s="38">
        <v>1962</v>
      </c>
      <c r="C17" s="38">
        <v>62.639000000000003</v>
      </c>
      <c r="E17" s="38">
        <v>1842</v>
      </c>
      <c r="F17" s="38">
        <v>68.150000000000006</v>
      </c>
      <c r="H17" s="38">
        <v>1891</v>
      </c>
      <c r="I17" s="38">
        <v>67.218000000000004</v>
      </c>
      <c r="K17" s="38">
        <v>1609</v>
      </c>
      <c r="L17" s="38">
        <v>66.498000000000005</v>
      </c>
      <c r="N17" s="38">
        <v>1790</v>
      </c>
      <c r="O17" s="38">
        <v>67.778000000000006</v>
      </c>
      <c r="Q17" s="52">
        <v>2047</v>
      </c>
      <c r="R17" s="53">
        <v>66.352000000000004</v>
      </c>
      <c r="T17" s="39">
        <v>1587</v>
      </c>
      <c r="U17" s="39">
        <v>55.41</v>
      </c>
      <c r="W17" s="53">
        <v>1394</v>
      </c>
      <c r="X17" s="53">
        <v>60.398000000000003</v>
      </c>
      <c r="Z17" s="53">
        <v>1300</v>
      </c>
      <c r="AA17" s="53">
        <v>59.4</v>
      </c>
      <c r="AC17" s="53">
        <v>1581</v>
      </c>
      <c r="AD17" s="53">
        <v>62.878999999999998</v>
      </c>
      <c r="AF17" s="38">
        <v>1720</v>
      </c>
      <c r="AG17" s="38">
        <v>57.567</v>
      </c>
      <c r="AI17" s="53">
        <v>1786</v>
      </c>
      <c r="AJ17" s="53">
        <v>64.463999999999999</v>
      </c>
      <c r="AL17" s="53">
        <v>1598</v>
      </c>
      <c r="AM17" s="53">
        <v>63.317</v>
      </c>
      <c r="AO17" s="38">
        <v>1952</v>
      </c>
      <c r="AP17" s="38">
        <v>62.628</v>
      </c>
      <c r="AR17" s="38">
        <v>2655</v>
      </c>
      <c r="AS17" s="38">
        <v>64.739000000000004</v>
      </c>
      <c r="AT17" s="13" t="s">
        <v>234</v>
      </c>
      <c r="AU17" s="40">
        <v>2519</v>
      </c>
      <c r="AV17" s="40">
        <v>65.55</v>
      </c>
      <c r="AX17" s="53">
        <v>1458</v>
      </c>
      <c r="AY17" s="53">
        <v>66.216999999999999</v>
      </c>
      <c r="BA17" s="38">
        <v>1614</v>
      </c>
      <c r="BB17" s="38">
        <v>61</v>
      </c>
      <c r="BD17" s="38">
        <v>1919</v>
      </c>
      <c r="BE17" s="38">
        <v>66.728999999999999</v>
      </c>
      <c r="BF17" s="13" t="s">
        <v>119</v>
      </c>
      <c r="BG17" s="40">
        <v>2217</v>
      </c>
      <c r="BH17" s="40">
        <v>63.222000000000001</v>
      </c>
      <c r="BJ17" s="39">
        <v>1606</v>
      </c>
      <c r="BK17" s="39">
        <v>56.68</v>
      </c>
      <c r="BM17" s="38">
        <v>1915</v>
      </c>
      <c r="BN17" s="38">
        <v>62.750999999999998</v>
      </c>
      <c r="BP17" s="38">
        <v>1944</v>
      </c>
      <c r="BQ17" s="38">
        <v>66.759</v>
      </c>
      <c r="BR17" s="64"/>
      <c r="BS17" s="38">
        <f t="shared" si="0"/>
        <v>2249</v>
      </c>
      <c r="BT17" s="38">
        <v>60.756</v>
      </c>
      <c r="BV17" s="53">
        <v>2691</v>
      </c>
      <c r="BW17" s="53">
        <v>68.242999999999995</v>
      </c>
      <c r="BY17" s="52">
        <v>2527</v>
      </c>
      <c r="BZ17" s="52">
        <v>66.786000000000001</v>
      </c>
      <c r="CB17" s="38">
        <v>1880</v>
      </c>
      <c r="CC17" s="38">
        <v>66.341999999999999</v>
      </c>
      <c r="CE17" s="38">
        <v>2171</v>
      </c>
      <c r="CF17" s="38">
        <v>67.793000000000006</v>
      </c>
      <c r="CH17" s="38">
        <v>2327</v>
      </c>
      <c r="CI17" s="38">
        <v>67.668999999999997</v>
      </c>
      <c r="CK17" s="53">
        <v>1890</v>
      </c>
      <c r="CL17" s="53">
        <v>68.212000000000003</v>
      </c>
      <c r="CN17" s="38">
        <v>1608</v>
      </c>
      <c r="CO17" s="38">
        <v>68.406000000000006</v>
      </c>
    </row>
    <row r="18" spans="1:93" x14ac:dyDescent="0.35">
      <c r="B18" s="38">
        <v>2115</v>
      </c>
      <c r="C18" s="38">
        <v>63.564</v>
      </c>
      <c r="E18" s="38">
        <v>1955</v>
      </c>
      <c r="F18" s="38">
        <v>68.694000000000003</v>
      </c>
      <c r="H18" s="38">
        <v>1984</v>
      </c>
      <c r="I18" s="38">
        <v>67.453000000000003</v>
      </c>
      <c r="K18" s="38">
        <v>1695</v>
      </c>
      <c r="L18" s="38">
        <v>67.344999999999999</v>
      </c>
      <c r="N18" s="38">
        <v>1866</v>
      </c>
      <c r="O18" s="38">
        <v>68.203000000000003</v>
      </c>
      <c r="Q18" s="52">
        <v>2187</v>
      </c>
      <c r="R18" s="53">
        <v>66.450999999999993</v>
      </c>
      <c r="T18" s="39">
        <v>1650</v>
      </c>
      <c r="U18" s="39">
        <v>54.95</v>
      </c>
      <c r="W18" s="53">
        <v>1508</v>
      </c>
      <c r="X18" s="53">
        <v>60.604999999999997</v>
      </c>
      <c r="Z18" s="53">
        <v>1401</v>
      </c>
      <c r="AA18" s="53">
        <v>59.866</v>
      </c>
      <c r="AC18" s="53">
        <v>1706</v>
      </c>
      <c r="AD18" s="53">
        <v>62.552</v>
      </c>
      <c r="AF18" s="38">
        <v>1796</v>
      </c>
      <c r="AG18" s="38">
        <v>57.796999999999997</v>
      </c>
      <c r="AI18" s="53">
        <v>1878</v>
      </c>
      <c r="AJ18" s="53">
        <v>65.867000000000004</v>
      </c>
      <c r="AL18" s="53">
        <v>1704</v>
      </c>
      <c r="AM18" s="53">
        <v>63.204000000000001</v>
      </c>
      <c r="AO18" s="38">
        <v>2072</v>
      </c>
      <c r="AP18" s="38">
        <v>62.704999999999998</v>
      </c>
      <c r="AR18" s="38">
        <v>2942</v>
      </c>
      <c r="AS18" s="38">
        <v>64.391999999999996</v>
      </c>
      <c r="AX18" s="53">
        <v>1973</v>
      </c>
      <c r="AY18" s="53">
        <v>61.500999999999998</v>
      </c>
      <c r="BA18" s="38">
        <v>1715</v>
      </c>
      <c r="BB18" s="38">
        <v>61.631999999999998</v>
      </c>
      <c r="BD18" s="38">
        <v>2083</v>
      </c>
      <c r="BE18" s="38">
        <v>66.494</v>
      </c>
      <c r="BG18" s="53">
        <v>2576</v>
      </c>
      <c r="BH18" s="53">
        <v>65.262</v>
      </c>
      <c r="BJ18" s="38">
        <v>1684</v>
      </c>
      <c r="BK18" s="38">
        <v>57.883000000000003</v>
      </c>
      <c r="BM18" s="38">
        <v>2035</v>
      </c>
      <c r="BN18" s="38">
        <v>62.34</v>
      </c>
      <c r="BP18" s="38">
        <v>2110</v>
      </c>
      <c r="BQ18" s="38">
        <v>66.433000000000007</v>
      </c>
      <c r="BR18" s="64"/>
      <c r="BS18" s="38">
        <f t="shared" si="0"/>
        <v>2421</v>
      </c>
      <c r="BT18" s="38">
        <v>62.636000000000003</v>
      </c>
      <c r="BV18" s="53">
        <v>2852</v>
      </c>
      <c r="BW18" s="53">
        <v>68.87</v>
      </c>
      <c r="BY18" s="52">
        <v>2693</v>
      </c>
      <c r="BZ18" s="52">
        <v>65.432000000000002</v>
      </c>
      <c r="CB18" s="38">
        <v>2026</v>
      </c>
      <c r="CC18" s="38">
        <v>66.563999999999993</v>
      </c>
      <c r="CE18" s="38">
        <v>2394</v>
      </c>
      <c r="CF18" s="38">
        <v>67.84</v>
      </c>
      <c r="CH18" s="38">
        <v>2540</v>
      </c>
      <c r="CI18" s="38">
        <v>66.341999999999999</v>
      </c>
      <c r="CK18" s="53">
        <v>2058</v>
      </c>
      <c r="CL18" s="53">
        <v>62.460999999999999</v>
      </c>
      <c r="CN18" s="38">
        <v>1707</v>
      </c>
      <c r="CO18" s="38">
        <v>69.009</v>
      </c>
    </row>
    <row r="19" spans="1:93" x14ac:dyDescent="0.35">
      <c r="B19" s="38">
        <v>2333</v>
      </c>
      <c r="C19" s="38">
        <v>62.576999999999998</v>
      </c>
      <c r="E19" s="38">
        <v>2016</v>
      </c>
      <c r="F19" s="38">
        <v>69.349999999999994</v>
      </c>
      <c r="H19" s="38">
        <v>2103</v>
      </c>
      <c r="I19" s="38">
        <v>67.004999999999995</v>
      </c>
      <c r="K19" s="38">
        <v>1802</v>
      </c>
      <c r="L19" s="38">
        <v>66.884</v>
      </c>
      <c r="N19" s="38">
        <v>1975</v>
      </c>
      <c r="O19" s="38">
        <v>68.501999999999995</v>
      </c>
      <c r="Q19" s="52">
        <v>2373</v>
      </c>
      <c r="R19" s="53">
        <v>67.192999999999998</v>
      </c>
      <c r="S19" s="19" t="s">
        <v>119</v>
      </c>
      <c r="T19" s="39">
        <v>1715</v>
      </c>
      <c r="U19" s="39">
        <v>55.780999999999999</v>
      </c>
      <c r="W19" s="53">
        <v>1652</v>
      </c>
      <c r="X19" s="53">
        <v>62.790999999999997</v>
      </c>
      <c r="Z19" s="53">
        <v>1539</v>
      </c>
      <c r="AA19" s="53">
        <v>61.823</v>
      </c>
      <c r="AC19" s="53">
        <v>1802</v>
      </c>
      <c r="AD19" s="53">
        <v>63.654000000000003</v>
      </c>
      <c r="AE19" s="19" t="s">
        <v>119</v>
      </c>
      <c r="AF19" s="39">
        <v>1886</v>
      </c>
      <c r="AG19" s="39">
        <v>56.56</v>
      </c>
      <c r="AI19" s="53">
        <v>2021</v>
      </c>
      <c r="AJ19" s="53">
        <v>64.631</v>
      </c>
      <c r="AL19" s="53">
        <v>1782</v>
      </c>
      <c r="AM19" s="53">
        <v>63.369</v>
      </c>
      <c r="AO19" s="38">
        <v>2157</v>
      </c>
      <c r="AP19" s="38">
        <v>64.117000000000004</v>
      </c>
      <c r="AR19" s="38">
        <v>3110</v>
      </c>
      <c r="AS19" s="38">
        <v>63.295999999999999</v>
      </c>
      <c r="AX19" s="53">
        <v>2174</v>
      </c>
      <c r="AY19" s="53">
        <v>61.822000000000003</v>
      </c>
      <c r="BA19" s="38">
        <v>1811</v>
      </c>
      <c r="BB19" s="38">
        <v>61.786999999999999</v>
      </c>
      <c r="BC19" s="19" t="s">
        <v>234</v>
      </c>
      <c r="BD19" s="39">
        <v>2154</v>
      </c>
      <c r="BE19" s="39">
        <v>65.748000000000005</v>
      </c>
      <c r="BG19" s="53">
        <v>2812</v>
      </c>
      <c r="BH19" s="53">
        <v>62.165999999999997</v>
      </c>
      <c r="BJ19" s="38">
        <v>1850</v>
      </c>
      <c r="BK19" s="38">
        <v>59.118000000000002</v>
      </c>
      <c r="BM19" s="38">
        <v>2134</v>
      </c>
      <c r="BN19" s="38">
        <v>63.023000000000003</v>
      </c>
      <c r="BP19" s="38">
        <v>2422</v>
      </c>
      <c r="BQ19" s="38">
        <v>66.384</v>
      </c>
      <c r="BR19" s="64"/>
      <c r="BS19" s="38">
        <f t="shared" si="0"/>
        <v>2712</v>
      </c>
      <c r="BT19" s="38">
        <v>64.319999999999993</v>
      </c>
      <c r="BV19" s="53">
        <v>2950</v>
      </c>
      <c r="BW19" s="53">
        <v>69.656999999999996</v>
      </c>
      <c r="BY19" s="52">
        <v>2860</v>
      </c>
      <c r="BZ19" s="52">
        <v>63.9</v>
      </c>
      <c r="CB19" s="38">
        <v>2180</v>
      </c>
      <c r="CC19" s="38">
        <v>67.471000000000004</v>
      </c>
      <c r="CE19" s="38">
        <v>3008</v>
      </c>
      <c r="CF19" s="38">
        <v>70.284999999999997</v>
      </c>
      <c r="CH19" s="38">
        <v>2838</v>
      </c>
      <c r="CI19" s="38">
        <v>67.471000000000004</v>
      </c>
      <c r="CK19" s="53">
        <v>2208</v>
      </c>
      <c r="CL19" s="53">
        <v>63.305999999999997</v>
      </c>
      <c r="CN19" s="38">
        <v>1807</v>
      </c>
      <c r="CO19" s="38">
        <v>69.302000000000007</v>
      </c>
    </row>
    <row r="20" spans="1:93" x14ac:dyDescent="0.35">
      <c r="B20" s="38">
        <v>2444</v>
      </c>
      <c r="C20" s="38">
        <v>60.247</v>
      </c>
      <c r="E20" s="38">
        <v>2466</v>
      </c>
      <c r="F20" s="38">
        <v>66.34</v>
      </c>
      <c r="H20" s="38">
        <v>2371</v>
      </c>
      <c r="I20" s="38">
        <v>67.429000000000002</v>
      </c>
      <c r="K20" s="38">
        <v>1937</v>
      </c>
      <c r="L20" s="38">
        <v>65.340999999999994</v>
      </c>
      <c r="N20" s="38">
        <v>2068</v>
      </c>
      <c r="O20" s="38">
        <v>69.55</v>
      </c>
      <c r="Q20" s="52">
        <v>2730</v>
      </c>
      <c r="R20" s="53">
        <v>65.718000000000004</v>
      </c>
      <c r="T20" s="38">
        <v>1819</v>
      </c>
      <c r="U20" s="38">
        <v>57.634</v>
      </c>
      <c r="W20" s="53">
        <v>1787</v>
      </c>
      <c r="X20" s="53">
        <v>62.470999999999997</v>
      </c>
      <c r="Z20" s="53">
        <v>1641</v>
      </c>
      <c r="AA20" s="53">
        <v>62.771999999999998</v>
      </c>
      <c r="AC20" s="53">
        <v>1904</v>
      </c>
      <c r="AD20" s="53">
        <v>63.24</v>
      </c>
      <c r="AF20" s="38">
        <v>2014</v>
      </c>
      <c r="AG20" s="38">
        <v>55.773000000000003</v>
      </c>
      <c r="AI20" s="53">
        <v>2134</v>
      </c>
      <c r="AJ20" s="53">
        <v>63.101999999999997</v>
      </c>
      <c r="AL20" s="53">
        <v>1900</v>
      </c>
      <c r="AM20" s="53">
        <v>66.912000000000006</v>
      </c>
      <c r="AO20" s="38">
        <v>2248</v>
      </c>
      <c r="AP20" s="38">
        <v>63.59</v>
      </c>
      <c r="AR20" s="38">
        <v>3226</v>
      </c>
      <c r="AS20" s="38">
        <v>62.765000000000001</v>
      </c>
      <c r="AW20" s="19" t="s">
        <v>119</v>
      </c>
      <c r="AX20" s="39">
        <v>2378</v>
      </c>
      <c r="AY20" s="39">
        <v>63.222000000000001</v>
      </c>
      <c r="BA20" s="38">
        <v>1916</v>
      </c>
      <c r="BB20" s="38">
        <v>62</v>
      </c>
      <c r="BG20" s="53">
        <v>3082</v>
      </c>
      <c r="BH20" s="53">
        <v>62.499000000000002</v>
      </c>
      <c r="BJ20" s="38">
        <v>1969</v>
      </c>
      <c r="BK20" s="38">
        <v>59.874000000000002</v>
      </c>
      <c r="BM20" s="38">
        <v>2241</v>
      </c>
      <c r="BN20" s="38">
        <v>64.102000000000004</v>
      </c>
      <c r="BP20" s="38">
        <v>2734</v>
      </c>
      <c r="BQ20" s="38">
        <v>65.201999999999998</v>
      </c>
      <c r="BR20" s="64"/>
      <c r="BS20" s="38">
        <f t="shared" si="0"/>
        <v>2917</v>
      </c>
      <c r="BT20" s="38">
        <v>66.597999999999999</v>
      </c>
      <c r="BV20" s="53">
        <v>3168</v>
      </c>
      <c r="BW20" s="53">
        <v>68.447999999999993</v>
      </c>
      <c r="BX20" s="13" t="s">
        <v>110</v>
      </c>
      <c r="BY20" s="27">
        <v>3104</v>
      </c>
      <c r="BZ20" s="27">
        <v>62.854999999999997</v>
      </c>
      <c r="CB20" s="38">
        <v>2289</v>
      </c>
      <c r="CC20" s="38">
        <v>67.994</v>
      </c>
      <c r="CE20" s="38">
        <v>3139</v>
      </c>
      <c r="CF20" s="38">
        <v>68.212000000000003</v>
      </c>
      <c r="CH20" s="38">
        <v>2943</v>
      </c>
      <c r="CI20" s="38">
        <v>67.994</v>
      </c>
      <c r="CK20" s="53">
        <v>2429</v>
      </c>
      <c r="CL20" s="53">
        <v>69.477999999999994</v>
      </c>
      <c r="CN20" s="38">
        <v>1865</v>
      </c>
      <c r="CO20" s="38">
        <v>69.852000000000004</v>
      </c>
    </row>
    <row r="21" spans="1:93" x14ac:dyDescent="0.35">
      <c r="B21" s="38">
        <v>2722</v>
      </c>
      <c r="C21" s="38">
        <v>62.118000000000002</v>
      </c>
      <c r="D21" s="13" t="s">
        <v>215</v>
      </c>
      <c r="E21" s="40">
        <v>2589</v>
      </c>
      <c r="F21" s="40">
        <v>66.105999999999995</v>
      </c>
      <c r="H21" s="38">
        <v>2504</v>
      </c>
      <c r="I21" s="38">
        <v>67.123999999999995</v>
      </c>
      <c r="K21" s="38">
        <v>2037</v>
      </c>
      <c r="L21" s="38">
        <v>65.031999999999996</v>
      </c>
      <c r="N21" s="38">
        <v>2190</v>
      </c>
      <c r="O21" s="38">
        <v>66.643000000000001</v>
      </c>
      <c r="Q21" s="52">
        <v>3111</v>
      </c>
      <c r="R21" s="53">
        <v>65.873999999999995</v>
      </c>
      <c r="T21" s="38">
        <v>1856</v>
      </c>
      <c r="U21" s="38">
        <v>56.777999999999999</v>
      </c>
      <c r="W21" s="53">
        <v>1860</v>
      </c>
      <c r="X21" s="53">
        <v>62.204000000000001</v>
      </c>
      <c r="Z21" s="53">
        <v>1737</v>
      </c>
      <c r="AA21" s="53">
        <v>61.936999999999998</v>
      </c>
      <c r="AC21" s="53">
        <v>2005</v>
      </c>
      <c r="AD21" s="53">
        <v>62.978000000000002</v>
      </c>
      <c r="AF21" s="38">
        <v>2105</v>
      </c>
      <c r="AG21" s="38">
        <v>56.109000000000002</v>
      </c>
      <c r="AI21" s="53">
        <v>2431</v>
      </c>
      <c r="AJ21" s="53">
        <v>60.63</v>
      </c>
      <c r="AL21" s="53">
        <v>1991</v>
      </c>
      <c r="AM21" s="53">
        <v>65.022000000000006</v>
      </c>
      <c r="AO21" s="38">
        <v>2362</v>
      </c>
      <c r="AP21" s="38">
        <v>63.274000000000001</v>
      </c>
      <c r="AQ21" s="19" t="s">
        <v>119</v>
      </c>
      <c r="AR21" s="39">
        <v>3273</v>
      </c>
      <c r="AS21" s="39">
        <v>61.773000000000003</v>
      </c>
      <c r="AX21" s="53">
        <v>2545</v>
      </c>
      <c r="AY21" s="53">
        <v>66.402000000000001</v>
      </c>
      <c r="BA21" s="38">
        <v>2016</v>
      </c>
      <c r="BB21" s="38">
        <v>62.213000000000001</v>
      </c>
      <c r="BG21" s="53">
        <v>3354</v>
      </c>
      <c r="BH21" s="53">
        <v>64.197999999999993</v>
      </c>
      <c r="BJ21" s="38">
        <v>2097</v>
      </c>
      <c r="BK21" s="38">
        <v>61.841999999999999</v>
      </c>
      <c r="BM21" s="38">
        <v>2343</v>
      </c>
      <c r="BN21" s="38">
        <v>64.343000000000004</v>
      </c>
      <c r="BO21" s="19" t="s">
        <v>234</v>
      </c>
      <c r="BP21" s="9">
        <v>2927</v>
      </c>
      <c r="BQ21" s="9">
        <v>65.55</v>
      </c>
      <c r="BR21" s="64"/>
      <c r="BS21" s="38">
        <f t="shared" si="0"/>
        <v>3163</v>
      </c>
      <c r="BT21" s="38">
        <v>66.031999999999996</v>
      </c>
      <c r="BV21" s="53">
        <v>3312</v>
      </c>
      <c r="BW21" s="53">
        <v>68.106999999999999</v>
      </c>
      <c r="BY21" s="27">
        <v>3142</v>
      </c>
      <c r="BZ21" s="27">
        <v>62.280999999999999</v>
      </c>
      <c r="CB21" s="38">
        <v>2598</v>
      </c>
      <c r="CC21" s="38">
        <v>69.091999999999999</v>
      </c>
      <c r="CE21" s="38">
        <v>3302</v>
      </c>
      <c r="CF21" s="38">
        <v>62.460999999999999</v>
      </c>
      <c r="CH21" s="38">
        <v>3275</v>
      </c>
      <c r="CI21" s="38">
        <v>69.114999999999995</v>
      </c>
      <c r="CK21" s="53">
        <v>3678</v>
      </c>
      <c r="CL21" s="53">
        <v>69.084000000000003</v>
      </c>
      <c r="CN21" s="38">
        <v>1980</v>
      </c>
      <c r="CO21" s="38">
        <v>69.608999999999995</v>
      </c>
    </row>
    <row r="22" spans="1:93" x14ac:dyDescent="0.35">
      <c r="A22" s="19" t="s">
        <v>64</v>
      </c>
      <c r="B22" s="9">
        <v>2818</v>
      </c>
      <c r="C22" s="9">
        <v>62.593000000000004</v>
      </c>
      <c r="E22" s="38">
        <v>2638</v>
      </c>
      <c r="F22" s="38">
        <v>67.632999999999996</v>
      </c>
      <c r="H22" s="38">
        <v>2620</v>
      </c>
      <c r="I22" s="38">
        <v>67.884</v>
      </c>
      <c r="K22" s="38">
        <v>2144</v>
      </c>
      <c r="L22" s="38">
        <v>65.951999999999998</v>
      </c>
      <c r="N22" s="38">
        <v>2231</v>
      </c>
      <c r="O22" s="38">
        <v>67.936000000000007</v>
      </c>
      <c r="Q22" s="52">
        <v>3214</v>
      </c>
      <c r="R22" s="53">
        <v>64.293000000000006</v>
      </c>
      <c r="T22" s="38">
        <v>1971</v>
      </c>
      <c r="U22" s="38">
        <v>57.893999999999998</v>
      </c>
      <c r="W22" s="53">
        <v>1958</v>
      </c>
      <c r="X22" s="53">
        <v>62.402999999999999</v>
      </c>
      <c r="Z22" s="53">
        <v>1822</v>
      </c>
      <c r="AA22" s="53">
        <v>62.682000000000002</v>
      </c>
      <c r="AC22" s="53">
        <v>2104</v>
      </c>
      <c r="AD22" s="53">
        <v>63.350999999999999</v>
      </c>
      <c r="AF22" s="38">
        <v>2161</v>
      </c>
      <c r="AG22" s="38">
        <v>57.472000000000001</v>
      </c>
      <c r="AI22" s="53">
        <v>2578</v>
      </c>
      <c r="AJ22" s="53">
        <v>62.783000000000001</v>
      </c>
      <c r="AL22" s="53">
        <v>2073</v>
      </c>
      <c r="AM22" s="53">
        <v>64.284000000000006</v>
      </c>
      <c r="AO22" s="38">
        <v>2480</v>
      </c>
      <c r="AP22" s="38">
        <v>63.771999999999998</v>
      </c>
      <c r="AR22" s="39">
        <v>3331</v>
      </c>
      <c r="AS22" s="39">
        <v>61.811</v>
      </c>
      <c r="AX22" s="53">
        <v>2714</v>
      </c>
      <c r="AY22" s="53">
        <v>65.262</v>
      </c>
      <c r="BA22" s="38">
        <v>2118</v>
      </c>
      <c r="BB22" s="38">
        <v>62.503</v>
      </c>
      <c r="BG22" s="53">
        <v>3556</v>
      </c>
      <c r="BH22" s="53">
        <v>64.210999999999999</v>
      </c>
      <c r="BJ22" s="38">
        <v>2210</v>
      </c>
      <c r="BK22" s="38">
        <v>63.284999999999997</v>
      </c>
      <c r="BM22" s="38">
        <v>2548</v>
      </c>
      <c r="BN22" s="38">
        <v>64.022999999999996</v>
      </c>
      <c r="BP22" s="64"/>
      <c r="BR22" s="64"/>
      <c r="BS22" s="38">
        <f t="shared" si="0"/>
        <v>3291</v>
      </c>
      <c r="BT22" s="38">
        <v>66.284999999999997</v>
      </c>
      <c r="BV22" s="53">
        <v>3430</v>
      </c>
      <c r="BW22" s="53">
        <v>68.950999999999993</v>
      </c>
      <c r="BY22" s="52">
        <v>3409</v>
      </c>
      <c r="BZ22" s="52">
        <v>63.116999999999997</v>
      </c>
      <c r="CB22" s="38">
        <v>3140</v>
      </c>
      <c r="CC22" s="38">
        <v>68.551000000000002</v>
      </c>
      <c r="CE22" s="38">
        <v>3408</v>
      </c>
      <c r="CF22" s="38">
        <v>62.777000000000001</v>
      </c>
      <c r="CH22" s="38">
        <v>3584</v>
      </c>
      <c r="CI22" s="38">
        <v>69.370999999999995</v>
      </c>
      <c r="CK22" s="53">
        <v>2887</v>
      </c>
      <c r="CL22" s="53">
        <v>68.427999999999997</v>
      </c>
      <c r="CN22" s="38">
        <v>2109</v>
      </c>
      <c r="CO22" s="38">
        <v>69.813000000000002</v>
      </c>
    </row>
    <row r="23" spans="1:93" x14ac:dyDescent="0.35">
      <c r="B23" s="38">
        <v>2906</v>
      </c>
      <c r="C23" s="38">
        <v>63.493000000000002</v>
      </c>
      <c r="E23" s="38">
        <v>2741</v>
      </c>
      <c r="F23" s="38">
        <v>67.644000000000005</v>
      </c>
      <c r="H23" s="38">
        <v>2754</v>
      </c>
      <c r="I23" s="38">
        <v>68.394000000000005</v>
      </c>
      <c r="K23" s="38">
        <v>2193</v>
      </c>
      <c r="L23" s="38">
        <v>64.903999999999996</v>
      </c>
      <c r="N23" s="38">
        <v>2439</v>
      </c>
      <c r="O23" s="38">
        <v>66.908000000000001</v>
      </c>
      <c r="Q23" s="52">
        <v>3500</v>
      </c>
      <c r="R23" s="53">
        <v>62.94</v>
      </c>
      <c r="T23" s="38">
        <v>20171</v>
      </c>
      <c r="U23" s="38">
        <v>57.856999999999999</v>
      </c>
      <c r="W23" s="53">
        <v>2053</v>
      </c>
      <c r="X23" s="53">
        <v>62.661000000000001</v>
      </c>
      <c r="Z23" s="53">
        <v>1877</v>
      </c>
      <c r="AA23" s="53">
        <v>62.216000000000001</v>
      </c>
      <c r="AC23" s="53">
        <v>2202</v>
      </c>
      <c r="AD23" s="53">
        <v>63.68</v>
      </c>
      <c r="AF23" s="38">
        <v>2278</v>
      </c>
      <c r="AG23" s="38">
        <v>58.320999999999998</v>
      </c>
      <c r="AI23" s="53">
        <v>2664</v>
      </c>
      <c r="AJ23" s="53">
        <v>64.004000000000005</v>
      </c>
      <c r="AL23" s="53">
        <v>2253</v>
      </c>
      <c r="AM23" s="53">
        <v>62.442</v>
      </c>
      <c r="AO23" s="38">
        <v>2595</v>
      </c>
      <c r="AP23" s="38">
        <v>64.004999999999995</v>
      </c>
      <c r="AR23" s="38">
        <v>3580</v>
      </c>
      <c r="AS23" s="38">
        <v>65.123999999999995</v>
      </c>
      <c r="AX23" s="53">
        <v>2991</v>
      </c>
      <c r="AY23" s="53">
        <v>61.53</v>
      </c>
      <c r="BA23" s="38">
        <v>2225</v>
      </c>
      <c r="BB23" s="38">
        <v>62.777999999999999</v>
      </c>
      <c r="BF23" s="13" t="s">
        <v>119</v>
      </c>
      <c r="BG23" s="40">
        <v>3835</v>
      </c>
      <c r="BH23" s="40">
        <v>61.773000000000003</v>
      </c>
      <c r="BJ23" s="38">
        <v>2330</v>
      </c>
      <c r="BK23" s="38">
        <v>62.709000000000003</v>
      </c>
      <c r="BM23" s="38">
        <v>2787</v>
      </c>
      <c r="BN23" s="38">
        <v>63.914999999999999</v>
      </c>
      <c r="BP23" s="64"/>
      <c r="BR23" s="64"/>
      <c r="BS23" s="38">
        <f t="shared" si="0"/>
        <v>3581</v>
      </c>
      <c r="BT23" s="38">
        <v>61.423000000000002</v>
      </c>
      <c r="BV23" s="53">
        <v>3737</v>
      </c>
      <c r="BW23" s="53">
        <v>66.962000000000003</v>
      </c>
      <c r="BY23" s="52">
        <v>3555</v>
      </c>
      <c r="BZ23" s="52">
        <v>63.613</v>
      </c>
      <c r="CB23" s="38">
        <v>3313</v>
      </c>
      <c r="CC23" s="38">
        <v>68.212000000000003</v>
      </c>
      <c r="CE23" s="38">
        <v>3511</v>
      </c>
      <c r="CF23" s="38">
        <v>62.598999999999997</v>
      </c>
      <c r="CH23" s="38">
        <v>3917</v>
      </c>
      <c r="CI23" s="38">
        <v>68.212000000000003</v>
      </c>
      <c r="CK23" s="53">
        <v>3079</v>
      </c>
      <c r="CL23" s="53">
        <v>68.950999999999993</v>
      </c>
      <c r="CN23" s="38">
        <v>2225</v>
      </c>
      <c r="CO23" s="38">
        <v>70.436999999999998</v>
      </c>
    </row>
    <row r="24" spans="1:93" x14ac:dyDescent="0.35">
      <c r="B24" s="38">
        <v>3205</v>
      </c>
      <c r="C24" s="38">
        <v>60.994</v>
      </c>
      <c r="E24" s="38">
        <v>2845</v>
      </c>
      <c r="F24" s="38">
        <v>70.421999999999997</v>
      </c>
      <c r="H24" s="38">
        <v>2858</v>
      </c>
      <c r="I24" s="38">
        <v>68.5</v>
      </c>
      <c r="K24" s="38">
        <v>2232</v>
      </c>
      <c r="L24" s="38">
        <v>65.006</v>
      </c>
      <c r="N24" s="38">
        <v>2583</v>
      </c>
      <c r="O24" s="38">
        <v>66.126999999999995</v>
      </c>
      <c r="P24" s="13" t="s">
        <v>64</v>
      </c>
      <c r="Q24" s="27">
        <v>4256</v>
      </c>
      <c r="R24" s="40">
        <v>62.472000000000001</v>
      </c>
      <c r="T24" s="53">
        <v>2173</v>
      </c>
      <c r="U24" s="53">
        <v>57.46</v>
      </c>
      <c r="W24" s="53">
        <v>2155</v>
      </c>
      <c r="X24" s="53">
        <v>62.459000000000003</v>
      </c>
      <c r="Z24" s="53">
        <v>1962</v>
      </c>
      <c r="AA24" s="53">
        <v>62.771999999999998</v>
      </c>
      <c r="AC24" s="53">
        <v>2302</v>
      </c>
      <c r="AD24" s="53">
        <v>63.555</v>
      </c>
      <c r="AF24" s="38">
        <v>2574</v>
      </c>
      <c r="AG24" s="38">
        <v>61.67</v>
      </c>
      <c r="AI24" s="53">
        <v>2777</v>
      </c>
      <c r="AJ24" s="53">
        <v>65.552000000000007</v>
      </c>
      <c r="AL24" s="53">
        <v>2368</v>
      </c>
      <c r="AM24" s="53">
        <v>60.39</v>
      </c>
      <c r="AO24" s="38">
        <v>2690</v>
      </c>
      <c r="AP24" s="38">
        <v>64.432000000000002</v>
      </c>
      <c r="AR24" s="38">
        <v>3683</v>
      </c>
      <c r="AS24" s="38">
        <v>66.807000000000002</v>
      </c>
      <c r="AX24" s="53">
        <v>3221</v>
      </c>
      <c r="AY24" s="53">
        <v>62.499000000000002</v>
      </c>
      <c r="BA24" s="38">
        <v>2257</v>
      </c>
      <c r="BB24" s="38">
        <v>63.86</v>
      </c>
      <c r="BG24" s="53">
        <v>3884</v>
      </c>
      <c r="BH24" s="53">
        <v>61.811</v>
      </c>
      <c r="BJ24" s="38">
        <v>2437</v>
      </c>
      <c r="BK24" s="38">
        <v>63.302</v>
      </c>
      <c r="BM24" s="38">
        <v>3017</v>
      </c>
      <c r="BN24" s="38">
        <v>61.851999999999997</v>
      </c>
      <c r="BP24" s="64"/>
      <c r="BR24" s="64"/>
      <c r="BS24" s="38">
        <f t="shared" si="0"/>
        <v>3854</v>
      </c>
      <c r="BT24" s="38">
        <v>56.021000000000001</v>
      </c>
      <c r="BV24" s="53">
        <v>3922</v>
      </c>
      <c r="BW24" s="53">
        <v>67.501999999999995</v>
      </c>
      <c r="BY24" s="52">
        <v>3724</v>
      </c>
      <c r="BZ24" s="52">
        <v>63.326000000000001</v>
      </c>
      <c r="CB24" s="38">
        <v>3548</v>
      </c>
      <c r="CC24" s="38">
        <v>61.488</v>
      </c>
      <c r="CE24" s="38">
        <v>3630</v>
      </c>
      <c r="CF24" s="38">
        <v>68.793000000000006</v>
      </c>
      <c r="CH24" s="38">
        <v>4081</v>
      </c>
      <c r="CI24" s="38">
        <v>62.460999999999999</v>
      </c>
      <c r="CK24" s="53">
        <v>3146</v>
      </c>
      <c r="CL24" s="53">
        <v>67.786000000000001</v>
      </c>
      <c r="CN24" s="38">
        <v>2324</v>
      </c>
      <c r="CO24" s="38">
        <v>70.632999999999996</v>
      </c>
    </row>
    <row r="25" spans="1:93" x14ac:dyDescent="0.35">
      <c r="A25" s="19" t="s">
        <v>64</v>
      </c>
      <c r="B25" s="9">
        <v>3378</v>
      </c>
      <c r="C25" s="9">
        <v>62.192999999999998</v>
      </c>
      <c r="E25" s="38">
        <v>2943</v>
      </c>
      <c r="F25" s="38">
        <v>67.8</v>
      </c>
      <c r="H25" s="38">
        <v>2964</v>
      </c>
      <c r="I25" s="38">
        <v>67.552000000000007</v>
      </c>
      <c r="K25" s="38">
        <v>2489</v>
      </c>
      <c r="L25" s="38">
        <v>65.409000000000006</v>
      </c>
      <c r="N25" s="38">
        <v>2742</v>
      </c>
      <c r="O25" s="38">
        <v>64.558000000000007</v>
      </c>
      <c r="Q25" s="52">
        <v>4445</v>
      </c>
      <c r="R25" s="53">
        <v>63.701999999999998</v>
      </c>
      <c r="T25" s="53">
        <v>2272</v>
      </c>
      <c r="U25" s="53">
        <v>57.33</v>
      </c>
      <c r="W25" s="53">
        <v>2253</v>
      </c>
      <c r="X25" s="53">
        <v>62.027999999999999</v>
      </c>
      <c r="Z25" s="53">
        <v>2067</v>
      </c>
      <c r="AA25" s="53">
        <v>62.793999999999997</v>
      </c>
      <c r="AC25" s="53">
        <v>2415</v>
      </c>
      <c r="AD25" s="53">
        <v>63.317</v>
      </c>
      <c r="AF25" s="38">
        <v>2675</v>
      </c>
      <c r="AG25" s="38">
        <v>61.021999999999998</v>
      </c>
      <c r="AI25" s="53">
        <v>3031</v>
      </c>
      <c r="AJ25" s="53">
        <v>63.003999999999998</v>
      </c>
      <c r="AL25" s="53">
        <v>2497</v>
      </c>
      <c r="AM25" s="53">
        <v>60.805999999999997</v>
      </c>
      <c r="AO25" s="38">
        <v>2784</v>
      </c>
      <c r="AP25" s="38">
        <v>63.018999999999998</v>
      </c>
      <c r="AQ25" s="19" t="s">
        <v>234</v>
      </c>
      <c r="AR25" s="39">
        <v>3774</v>
      </c>
      <c r="AS25" s="39">
        <v>65.55</v>
      </c>
      <c r="AX25" s="53">
        <v>3421</v>
      </c>
      <c r="AY25" s="53">
        <v>66.326999999999998</v>
      </c>
      <c r="BA25" s="38">
        <v>2348</v>
      </c>
      <c r="BB25" s="38">
        <v>62.174999999999997</v>
      </c>
      <c r="BG25" s="53">
        <v>4208</v>
      </c>
      <c r="BH25" s="53">
        <v>66.494</v>
      </c>
      <c r="BJ25" s="38">
        <v>2542</v>
      </c>
      <c r="BK25" s="38">
        <v>63.874000000000002</v>
      </c>
      <c r="BM25" s="38">
        <v>3465</v>
      </c>
      <c r="BN25" s="38">
        <v>62.145000000000003</v>
      </c>
      <c r="BP25" s="64"/>
      <c r="BR25" s="13" t="s">
        <v>265</v>
      </c>
      <c r="BS25" s="15">
        <f t="shared" si="0"/>
        <v>3984</v>
      </c>
      <c r="BT25" s="15">
        <v>57.253999999999998</v>
      </c>
      <c r="BV25" s="53">
        <v>4023</v>
      </c>
      <c r="BW25" s="53">
        <v>67.594999999999999</v>
      </c>
      <c r="BX25" s="13" t="s">
        <v>119</v>
      </c>
      <c r="BY25" s="27">
        <v>3818</v>
      </c>
      <c r="BZ25" s="27">
        <v>60.756</v>
      </c>
      <c r="CB25" s="38">
        <v>3671</v>
      </c>
      <c r="CC25" s="38">
        <v>60.106999999999999</v>
      </c>
      <c r="CE25" s="38">
        <v>3732</v>
      </c>
      <c r="CF25" s="38">
        <v>62.38</v>
      </c>
      <c r="CH25" s="38">
        <v>4230</v>
      </c>
      <c r="CI25" s="38">
        <v>63.305999999999997</v>
      </c>
      <c r="CK25" s="53">
        <v>3570</v>
      </c>
      <c r="CL25" s="53">
        <v>67.501999999999995</v>
      </c>
      <c r="CN25" s="38">
        <v>2431</v>
      </c>
      <c r="CO25" s="38">
        <v>69.44</v>
      </c>
    </row>
    <row r="26" spans="1:93" x14ac:dyDescent="0.35">
      <c r="B26" s="38">
        <v>3554</v>
      </c>
      <c r="C26" s="38">
        <v>62.811</v>
      </c>
      <c r="E26" s="38">
        <v>3156</v>
      </c>
      <c r="F26" s="38">
        <v>67.801000000000002</v>
      </c>
      <c r="H26" s="38">
        <v>3065</v>
      </c>
      <c r="I26" s="38">
        <v>67.459999999999994</v>
      </c>
      <c r="K26" s="38">
        <v>2591</v>
      </c>
      <c r="L26" s="38">
        <v>65.22</v>
      </c>
      <c r="N26" s="38">
        <v>2947</v>
      </c>
      <c r="O26" s="38">
        <v>65.835999999999999</v>
      </c>
      <c r="P26" s="13" t="s">
        <v>119</v>
      </c>
      <c r="Q26" s="27">
        <v>4748</v>
      </c>
      <c r="R26" s="40">
        <v>62.399000000000001</v>
      </c>
      <c r="T26" s="53">
        <v>2355</v>
      </c>
      <c r="U26" s="53">
        <v>57.445</v>
      </c>
      <c r="W26" s="53">
        <v>2321</v>
      </c>
      <c r="X26" s="53">
        <v>63.6</v>
      </c>
      <c r="Z26" s="53">
        <v>2193</v>
      </c>
      <c r="AA26" s="53">
        <v>63.488</v>
      </c>
      <c r="AC26" s="53">
        <v>2521</v>
      </c>
      <c r="AD26" s="53">
        <v>63.204000000000001</v>
      </c>
      <c r="AF26" s="38">
        <v>2878</v>
      </c>
      <c r="AG26" s="38">
        <v>62.314</v>
      </c>
      <c r="AI26" s="53">
        <v>3248</v>
      </c>
      <c r="AJ26" s="53">
        <v>61.276000000000003</v>
      </c>
      <c r="AL26" s="53">
        <v>2654</v>
      </c>
      <c r="AM26" s="53">
        <v>63.44</v>
      </c>
      <c r="AO26" s="38">
        <v>2862</v>
      </c>
      <c r="AP26" s="38">
        <v>62.59</v>
      </c>
      <c r="AX26" s="53">
        <v>3617</v>
      </c>
      <c r="AY26" s="53">
        <v>64.391999999999996</v>
      </c>
      <c r="BA26" s="38">
        <v>2426</v>
      </c>
      <c r="BB26" s="38">
        <v>62.843000000000004</v>
      </c>
      <c r="BF26" s="13" t="s">
        <v>234</v>
      </c>
      <c r="BG26" s="40">
        <v>4280</v>
      </c>
      <c r="BH26" s="40">
        <v>65.55</v>
      </c>
      <c r="BJ26" s="38">
        <v>2641</v>
      </c>
      <c r="BK26" s="38">
        <v>64.3</v>
      </c>
      <c r="BL26" s="13" t="s">
        <v>119</v>
      </c>
      <c r="BM26" s="40">
        <v>3611</v>
      </c>
      <c r="BN26" s="40">
        <v>63.222000000000001</v>
      </c>
      <c r="BP26" s="64"/>
      <c r="BR26" s="64"/>
      <c r="BS26" s="38">
        <f t="shared" si="0"/>
        <v>4183</v>
      </c>
      <c r="BT26" s="38">
        <v>57.244</v>
      </c>
      <c r="BV26" s="53">
        <v>4152</v>
      </c>
      <c r="BW26" s="53">
        <v>66.444999999999993</v>
      </c>
      <c r="BY26" s="52">
        <v>3991</v>
      </c>
      <c r="BZ26" s="52">
        <v>61.841000000000001</v>
      </c>
      <c r="CB26" s="38">
        <v>3759</v>
      </c>
      <c r="CC26" s="38">
        <v>68.242999999999995</v>
      </c>
      <c r="CE26" s="38">
        <v>3836</v>
      </c>
      <c r="CF26" s="38">
        <v>69.284000000000006</v>
      </c>
      <c r="CH26" s="38">
        <v>4291</v>
      </c>
      <c r="CI26" s="38">
        <v>62.598999999999997</v>
      </c>
      <c r="CJ26" s="13" t="s">
        <v>292</v>
      </c>
      <c r="CK26" s="15">
        <v>3749</v>
      </c>
      <c r="CL26" s="15">
        <v>68.331000000000003</v>
      </c>
      <c r="CN26" s="38">
        <v>2557</v>
      </c>
      <c r="CO26" s="38">
        <v>69.337999999999994</v>
      </c>
    </row>
    <row r="27" spans="1:93" x14ac:dyDescent="0.35">
      <c r="B27" s="38">
        <v>3834</v>
      </c>
      <c r="C27" s="38">
        <v>65.983000000000004</v>
      </c>
      <c r="E27" s="38">
        <v>3253</v>
      </c>
      <c r="F27" s="38">
        <v>67.429000000000002</v>
      </c>
      <c r="H27" s="38">
        <v>3168</v>
      </c>
      <c r="I27" s="38">
        <v>66.772999999999996</v>
      </c>
      <c r="K27" s="38">
        <v>2684</v>
      </c>
      <c r="L27" s="38">
        <v>65.325000000000003</v>
      </c>
      <c r="N27" s="38">
        <v>3110</v>
      </c>
      <c r="O27" s="38">
        <v>64.501999999999995</v>
      </c>
      <c r="Q27" s="27">
        <v>4827</v>
      </c>
      <c r="R27" s="40">
        <v>61.034999999999997</v>
      </c>
      <c r="T27" s="53">
        <v>2418</v>
      </c>
      <c r="U27" s="53">
        <v>58.796999999999997</v>
      </c>
      <c r="W27" s="53">
        <v>2439</v>
      </c>
      <c r="X27" s="53">
        <v>64.650999999999996</v>
      </c>
      <c r="Z27" s="53">
        <v>2332</v>
      </c>
      <c r="AA27" s="53">
        <v>63.378999999999998</v>
      </c>
      <c r="AC27" s="53">
        <v>2600</v>
      </c>
      <c r="AD27" s="53">
        <v>63.369</v>
      </c>
      <c r="AF27" s="38">
        <v>3077</v>
      </c>
      <c r="AG27" s="38">
        <v>61.707999999999998</v>
      </c>
      <c r="AI27" s="53">
        <v>3753</v>
      </c>
      <c r="AJ27" s="53">
        <v>64.775000000000006</v>
      </c>
      <c r="AL27" s="53">
        <v>2727</v>
      </c>
      <c r="AM27" s="53">
        <v>64.623999999999995</v>
      </c>
      <c r="AO27" s="38">
        <v>2968</v>
      </c>
      <c r="AP27" s="38">
        <v>62.642000000000003</v>
      </c>
      <c r="AX27" s="53">
        <v>3899</v>
      </c>
      <c r="AY27" s="53">
        <v>62.765000000000001</v>
      </c>
      <c r="BA27" s="38">
        <v>2518</v>
      </c>
      <c r="BB27" s="38">
        <v>62.411999999999999</v>
      </c>
      <c r="BJ27" s="38">
        <v>2742</v>
      </c>
      <c r="BK27" s="38">
        <v>64.760999999999996</v>
      </c>
      <c r="BM27" s="38">
        <v>3999</v>
      </c>
      <c r="BN27" s="38">
        <v>64.787999999999997</v>
      </c>
      <c r="BP27" s="64"/>
      <c r="BR27" s="64"/>
      <c r="BS27" s="38">
        <f t="shared" si="0"/>
        <v>4298</v>
      </c>
      <c r="BT27" s="38">
        <v>60.307000000000002</v>
      </c>
      <c r="BV27" s="53">
        <v>4313</v>
      </c>
      <c r="BW27" s="53">
        <v>61.238</v>
      </c>
      <c r="BY27" s="52">
        <v>4079</v>
      </c>
      <c r="BZ27" s="52">
        <v>63.56</v>
      </c>
      <c r="CB27" s="38">
        <v>3919</v>
      </c>
      <c r="CC27" s="38">
        <v>68.87</v>
      </c>
      <c r="CE27" s="38">
        <v>3956</v>
      </c>
      <c r="CF27" s="38">
        <v>68.664000000000001</v>
      </c>
      <c r="CH27" s="38">
        <v>4408</v>
      </c>
      <c r="CI27" s="38">
        <v>68.793000000000006</v>
      </c>
      <c r="CK27" s="53">
        <v>3867</v>
      </c>
      <c r="CL27" s="53">
        <v>65.790000000000006</v>
      </c>
      <c r="CN27" s="38">
        <v>2659</v>
      </c>
      <c r="CO27" s="38">
        <v>69.498999999999995</v>
      </c>
    </row>
    <row r="28" spans="1:93" x14ac:dyDescent="0.35">
      <c r="A28" s="19" t="s">
        <v>234</v>
      </c>
      <c r="B28" s="9">
        <v>3995</v>
      </c>
      <c r="C28" s="9">
        <v>65.748000000000005</v>
      </c>
      <c r="E28" s="38">
        <v>3387</v>
      </c>
      <c r="F28" s="38">
        <v>67.123999999999995</v>
      </c>
      <c r="H28" s="38">
        <v>3226</v>
      </c>
      <c r="I28" s="38">
        <v>66.33</v>
      </c>
      <c r="J28" s="13" t="s">
        <v>110</v>
      </c>
      <c r="K28" s="40">
        <v>2887</v>
      </c>
      <c r="L28" s="40">
        <v>64.441999999999993</v>
      </c>
      <c r="N28" s="38">
        <v>3325</v>
      </c>
      <c r="O28" s="38">
        <v>62.283000000000001</v>
      </c>
      <c r="Q28" s="52">
        <v>5022</v>
      </c>
      <c r="R28" s="53">
        <v>63.475000000000001</v>
      </c>
      <c r="T28" s="53">
        <v>2562</v>
      </c>
      <c r="U28" s="53">
        <v>59.704999999999998</v>
      </c>
      <c r="W28" s="53">
        <v>2540</v>
      </c>
      <c r="X28" s="53">
        <v>64.709000000000003</v>
      </c>
      <c r="Z28" s="53">
        <v>2441</v>
      </c>
      <c r="AA28" s="53">
        <v>62.6</v>
      </c>
      <c r="AC28" s="53">
        <v>2716</v>
      </c>
      <c r="AD28" s="53">
        <v>66.912000000000006</v>
      </c>
      <c r="AF28" s="38">
        <v>3268</v>
      </c>
      <c r="AG28" s="38">
        <v>61.451000000000001</v>
      </c>
      <c r="AH28" s="13" t="s">
        <v>119</v>
      </c>
      <c r="AI28" s="40">
        <v>3821</v>
      </c>
      <c r="AJ28" s="40">
        <v>65.299000000000007</v>
      </c>
      <c r="AL28" s="53">
        <v>3080</v>
      </c>
      <c r="AM28" s="53">
        <v>62.655000000000001</v>
      </c>
      <c r="AO28" s="38">
        <v>3084</v>
      </c>
      <c r="AP28" s="38">
        <v>64.376000000000005</v>
      </c>
      <c r="AW28" s="19" t="s">
        <v>119</v>
      </c>
      <c r="AX28" s="39">
        <v>3959</v>
      </c>
      <c r="AY28" s="39">
        <v>61.773000000000003</v>
      </c>
      <c r="BA28" s="38">
        <v>2607</v>
      </c>
      <c r="BB28" s="38">
        <v>63.072000000000003</v>
      </c>
      <c r="BJ28" s="38">
        <v>2833</v>
      </c>
      <c r="BK28" s="38">
        <v>63.893000000000001</v>
      </c>
      <c r="BM28" s="38">
        <v>4249</v>
      </c>
      <c r="BN28" s="38">
        <v>61.53</v>
      </c>
      <c r="BP28" s="64"/>
      <c r="BR28" s="64"/>
      <c r="BS28" s="38">
        <f t="shared" si="0"/>
        <v>4380</v>
      </c>
      <c r="BT28" s="38">
        <v>61.491999999999997</v>
      </c>
      <c r="BV28" s="53">
        <v>4386</v>
      </c>
      <c r="BW28" s="53">
        <v>65.786000000000001</v>
      </c>
      <c r="BY28" s="52">
        <v>4294</v>
      </c>
      <c r="BZ28" s="52">
        <v>64.319999999999993</v>
      </c>
      <c r="CB28" s="38">
        <v>4235</v>
      </c>
      <c r="CC28" s="38">
        <v>68.447999999999993</v>
      </c>
      <c r="CE28" s="38">
        <v>4098</v>
      </c>
      <c r="CF28" s="38">
        <v>68.477000000000004</v>
      </c>
      <c r="CH28" s="38">
        <v>4509</v>
      </c>
      <c r="CI28" s="38">
        <v>62.38</v>
      </c>
      <c r="CK28" s="53">
        <v>4079</v>
      </c>
      <c r="CL28" s="53">
        <v>66.569999999999993</v>
      </c>
      <c r="CN28" s="38">
        <v>2762</v>
      </c>
      <c r="CO28" s="38">
        <v>69.331999999999994</v>
      </c>
    </row>
    <row r="29" spans="1:93" x14ac:dyDescent="0.35">
      <c r="E29" s="38">
        <v>3509</v>
      </c>
      <c r="F29" s="38">
        <v>67.884</v>
      </c>
      <c r="H29" s="38">
        <v>3293</v>
      </c>
      <c r="I29" s="38">
        <v>67.632999999999996</v>
      </c>
      <c r="K29" s="40">
        <v>2976</v>
      </c>
      <c r="L29" s="40">
        <v>64.001000000000005</v>
      </c>
      <c r="N29" s="38">
        <v>3417</v>
      </c>
      <c r="O29" s="38">
        <v>63.322000000000003</v>
      </c>
      <c r="Q29" s="52">
        <v>5337</v>
      </c>
      <c r="R29" s="53">
        <v>67.009</v>
      </c>
      <c r="T29" s="53">
        <v>2663</v>
      </c>
      <c r="U29" s="53">
        <v>60.204000000000001</v>
      </c>
      <c r="W29" s="53">
        <v>2628</v>
      </c>
      <c r="X29" s="53">
        <v>63.811</v>
      </c>
      <c r="Z29" s="53">
        <v>2557</v>
      </c>
      <c r="AA29" s="53">
        <v>62.890999999999998</v>
      </c>
      <c r="AC29" s="53">
        <v>2808</v>
      </c>
      <c r="AD29" s="53">
        <v>65.022000000000006</v>
      </c>
      <c r="AF29" s="38">
        <v>3387</v>
      </c>
      <c r="AG29" s="38">
        <v>61.67</v>
      </c>
      <c r="AI29" s="53">
        <v>3905</v>
      </c>
      <c r="AJ29" s="53">
        <v>65.105999999999995</v>
      </c>
      <c r="AL29" s="53">
        <v>3338</v>
      </c>
      <c r="AM29" s="53">
        <v>60.472000000000001</v>
      </c>
      <c r="AO29" s="38">
        <v>3192</v>
      </c>
      <c r="AP29" s="38">
        <v>63.866</v>
      </c>
      <c r="AX29" s="39">
        <v>4011</v>
      </c>
      <c r="AY29" s="39">
        <v>61.811</v>
      </c>
      <c r="BA29" s="38">
        <v>2790</v>
      </c>
      <c r="BB29" s="38">
        <v>63.13</v>
      </c>
      <c r="BJ29" s="38">
        <v>2914</v>
      </c>
      <c r="BK29" s="38">
        <v>63.884</v>
      </c>
      <c r="BM29" s="38">
        <v>4472</v>
      </c>
      <c r="BN29" s="38">
        <v>62.499000000000002</v>
      </c>
      <c r="BP29" s="64"/>
      <c r="BR29" s="64"/>
      <c r="BS29" s="38">
        <f t="shared" si="0"/>
        <v>4633</v>
      </c>
      <c r="BT29" s="38">
        <v>63.72</v>
      </c>
      <c r="BV29" s="53">
        <v>4546</v>
      </c>
      <c r="BW29" s="53">
        <v>65.432000000000002</v>
      </c>
      <c r="BY29" s="52">
        <v>4405</v>
      </c>
      <c r="BZ29" s="52">
        <v>63.904000000000003</v>
      </c>
      <c r="CB29" s="38">
        <v>4741</v>
      </c>
      <c r="CC29" s="38">
        <v>66.667000000000002</v>
      </c>
      <c r="CE29" s="38">
        <v>4321</v>
      </c>
      <c r="CF29" s="38">
        <v>68.950999999999993</v>
      </c>
      <c r="CH29" s="38">
        <v>4615</v>
      </c>
      <c r="CI29" s="38">
        <v>69.284000000000006</v>
      </c>
      <c r="CK29" s="53">
        <v>4193</v>
      </c>
      <c r="CL29" s="53">
        <v>65.432000000000002</v>
      </c>
      <c r="CN29" s="38">
        <v>3198</v>
      </c>
      <c r="CO29" s="38">
        <v>68.126999999999995</v>
      </c>
    </row>
    <row r="30" spans="1:93" x14ac:dyDescent="0.35">
      <c r="E30" s="38">
        <v>3621</v>
      </c>
      <c r="F30" s="38">
        <v>67.884</v>
      </c>
      <c r="H30" s="38">
        <v>3376</v>
      </c>
      <c r="I30" s="38">
        <v>67.378</v>
      </c>
      <c r="K30" s="38">
        <v>3062</v>
      </c>
      <c r="L30" s="38">
        <v>64.882999999999996</v>
      </c>
      <c r="N30" s="38">
        <v>3575</v>
      </c>
      <c r="O30" s="38">
        <v>63.613999999999997</v>
      </c>
      <c r="P30" s="13" t="s">
        <v>234</v>
      </c>
      <c r="Q30" s="27">
        <v>5457</v>
      </c>
      <c r="R30" s="40">
        <v>65.55</v>
      </c>
      <c r="T30" s="53">
        <v>2781</v>
      </c>
      <c r="U30" s="53">
        <v>61.61</v>
      </c>
      <c r="W30" s="53">
        <v>2733</v>
      </c>
      <c r="X30" s="53">
        <v>62.793999999999997</v>
      </c>
      <c r="Z30" s="53">
        <v>2656</v>
      </c>
      <c r="AA30" s="53">
        <v>64.091999999999999</v>
      </c>
      <c r="AC30" s="53">
        <v>2890</v>
      </c>
      <c r="AD30" s="53">
        <v>64.284000000000006</v>
      </c>
      <c r="AF30" s="38">
        <v>3489</v>
      </c>
      <c r="AG30" s="38">
        <v>61.6</v>
      </c>
      <c r="AI30" s="53">
        <v>4075</v>
      </c>
      <c r="AJ30" s="53">
        <v>65.275999999999996</v>
      </c>
      <c r="AL30" s="53">
        <v>3539</v>
      </c>
      <c r="AM30" s="53">
        <v>61.996000000000002</v>
      </c>
      <c r="AO30" s="38">
        <v>3323</v>
      </c>
      <c r="AP30" s="38">
        <v>62.749000000000002</v>
      </c>
      <c r="AX30" s="53">
        <v>4237</v>
      </c>
      <c r="AY30" s="53">
        <v>65.123999999999995</v>
      </c>
      <c r="BA30" s="38">
        <v>2919</v>
      </c>
      <c r="BB30" s="38">
        <v>62.905000000000001</v>
      </c>
      <c r="BJ30" s="38">
        <v>2998</v>
      </c>
      <c r="BK30" s="38">
        <v>64.203999999999994</v>
      </c>
      <c r="BM30" s="38">
        <v>4749</v>
      </c>
      <c r="BN30" s="38">
        <v>64.197999999999993</v>
      </c>
      <c r="BP30" s="64"/>
      <c r="BR30" s="64"/>
      <c r="BS30" s="38">
        <f t="shared" si="0"/>
        <v>4755</v>
      </c>
      <c r="BT30" s="38">
        <v>65.218000000000004</v>
      </c>
      <c r="BV30" s="53">
        <v>4711</v>
      </c>
      <c r="BW30" s="53">
        <v>63.9</v>
      </c>
      <c r="BY30" s="52">
        <v>4501</v>
      </c>
      <c r="BZ30" s="52">
        <v>66.597999999999999</v>
      </c>
      <c r="CB30" s="38">
        <v>4995</v>
      </c>
      <c r="CC30" s="38">
        <v>67.501999999999995</v>
      </c>
      <c r="CE30" s="38">
        <v>4426</v>
      </c>
      <c r="CF30" s="38">
        <v>67.962999999999994</v>
      </c>
      <c r="CH30" s="38">
        <v>4734</v>
      </c>
      <c r="CI30" s="38">
        <v>68.664000000000001</v>
      </c>
      <c r="CK30" s="53">
        <v>4360</v>
      </c>
      <c r="CL30" s="53">
        <v>63.9</v>
      </c>
      <c r="CN30" s="38">
        <v>3255</v>
      </c>
      <c r="CO30" s="38">
        <v>69.590999999999994</v>
      </c>
    </row>
    <row r="31" spans="1:93" x14ac:dyDescent="0.35">
      <c r="E31" s="38">
        <v>3769</v>
      </c>
      <c r="F31" s="38">
        <v>68.822000000000003</v>
      </c>
      <c r="H31" s="38">
        <v>3467</v>
      </c>
      <c r="I31" s="38">
        <v>66.887</v>
      </c>
      <c r="K31" s="38">
        <v>3160</v>
      </c>
      <c r="L31" s="38">
        <v>65.308999999999997</v>
      </c>
      <c r="N31" s="38">
        <v>3777</v>
      </c>
      <c r="O31" s="38">
        <v>62.213999999999999</v>
      </c>
      <c r="T31" s="53">
        <v>3107</v>
      </c>
      <c r="U31" s="53">
        <v>62.216000000000001</v>
      </c>
      <c r="W31" s="53">
        <v>2851</v>
      </c>
      <c r="X31" s="53">
        <v>60.779000000000003</v>
      </c>
      <c r="Z31" s="53">
        <v>2816</v>
      </c>
      <c r="AA31" s="53">
        <v>64.010999999999996</v>
      </c>
      <c r="AC31" s="53">
        <v>3071</v>
      </c>
      <c r="AD31" s="53">
        <v>62.442</v>
      </c>
      <c r="AF31" s="38">
        <v>3590</v>
      </c>
      <c r="AG31" s="38">
        <v>62.220999999999997</v>
      </c>
      <c r="AI31" s="53">
        <v>4320</v>
      </c>
      <c r="AJ31" s="53">
        <v>61.829000000000001</v>
      </c>
      <c r="AL31" s="53">
        <v>3728</v>
      </c>
      <c r="AM31" s="53">
        <v>64.031000000000006</v>
      </c>
      <c r="AO31" s="38">
        <v>3444</v>
      </c>
      <c r="AP31" s="38">
        <v>61.732999999999997</v>
      </c>
      <c r="AW31" s="19" t="s">
        <v>234</v>
      </c>
      <c r="AX31" s="39">
        <v>4428</v>
      </c>
      <c r="AY31" s="39">
        <v>65.55</v>
      </c>
      <c r="BA31" s="38">
        <v>3033</v>
      </c>
      <c r="BB31" s="38">
        <v>61.805</v>
      </c>
      <c r="BJ31" s="38">
        <v>3132</v>
      </c>
      <c r="BK31" s="38">
        <v>65.027000000000001</v>
      </c>
      <c r="BM31" s="38">
        <v>4859</v>
      </c>
      <c r="BN31" s="38">
        <v>63.847000000000001</v>
      </c>
      <c r="BR31" s="64"/>
      <c r="BS31" s="38">
        <f t="shared" si="0"/>
        <v>4857</v>
      </c>
      <c r="BT31" s="38">
        <v>65.754999999999995</v>
      </c>
      <c r="BU31" s="19" t="s">
        <v>110</v>
      </c>
      <c r="BV31" s="9">
        <v>4926</v>
      </c>
      <c r="BW31" s="9">
        <v>62.634</v>
      </c>
      <c r="BY31" s="52">
        <v>4592</v>
      </c>
      <c r="BZ31" s="52">
        <v>65.733000000000004</v>
      </c>
      <c r="CB31" s="38">
        <v>5224</v>
      </c>
      <c r="CC31" s="38">
        <v>66.444999999999993</v>
      </c>
      <c r="CE31" s="38">
        <v>4559</v>
      </c>
      <c r="CF31" s="38">
        <v>66.667000000000002</v>
      </c>
      <c r="CH31" s="38">
        <v>4837</v>
      </c>
      <c r="CI31" s="38">
        <v>68.447999999999993</v>
      </c>
      <c r="CK31" s="53">
        <v>4569</v>
      </c>
      <c r="CL31" s="53">
        <v>62.854999999999997</v>
      </c>
      <c r="CN31" s="38">
        <v>3412</v>
      </c>
      <c r="CO31" s="38">
        <v>68.774000000000001</v>
      </c>
    </row>
    <row r="32" spans="1:93" x14ac:dyDescent="0.35">
      <c r="E32" s="38">
        <v>3878</v>
      </c>
      <c r="F32" s="38">
        <v>68.444999999999993</v>
      </c>
      <c r="H32" s="38">
        <v>3563</v>
      </c>
      <c r="I32" s="38">
        <v>65.375</v>
      </c>
      <c r="K32" s="38">
        <v>3260</v>
      </c>
      <c r="L32" s="38">
        <v>65.244</v>
      </c>
      <c r="N32" s="38">
        <v>3916</v>
      </c>
      <c r="O32" s="38">
        <v>60.298000000000002</v>
      </c>
      <c r="T32" s="53">
        <v>3308</v>
      </c>
      <c r="U32" s="53">
        <v>62.793999999999997</v>
      </c>
      <c r="W32" s="53">
        <v>2953</v>
      </c>
      <c r="X32" s="53">
        <v>59.322000000000003</v>
      </c>
      <c r="Z32" s="53">
        <v>2920</v>
      </c>
      <c r="AA32" s="53">
        <v>63.552</v>
      </c>
      <c r="AC32" s="53">
        <v>3186</v>
      </c>
      <c r="AD32" s="53">
        <v>60.39</v>
      </c>
      <c r="AF32" s="38">
        <v>3692</v>
      </c>
      <c r="AG32" s="38">
        <v>61.976999999999997</v>
      </c>
      <c r="AI32" s="53">
        <v>4537</v>
      </c>
      <c r="AJ32" s="53">
        <v>62.247999999999998</v>
      </c>
      <c r="AK32" s="19" t="s">
        <v>119</v>
      </c>
      <c r="AL32" s="39">
        <v>3832</v>
      </c>
      <c r="AM32" s="39">
        <v>65.299000000000007</v>
      </c>
      <c r="AO32" s="38">
        <v>3531</v>
      </c>
      <c r="AP32" s="38">
        <v>59.698999999999998</v>
      </c>
      <c r="BA32" s="38">
        <v>3178</v>
      </c>
      <c r="BB32" s="38">
        <v>62.662999999999997</v>
      </c>
      <c r="BJ32" s="38">
        <v>3278</v>
      </c>
      <c r="BK32" s="38">
        <v>63.856000000000002</v>
      </c>
      <c r="BM32" s="38">
        <v>5055</v>
      </c>
      <c r="BN32" s="38">
        <v>62.219000000000001</v>
      </c>
      <c r="BR32" s="64"/>
      <c r="BS32" s="38">
        <f t="shared" si="0"/>
        <v>5054</v>
      </c>
      <c r="BT32" s="38">
        <v>68.658000000000001</v>
      </c>
      <c r="BV32" s="9">
        <v>4989</v>
      </c>
      <c r="BW32" s="9">
        <v>61.576000000000001</v>
      </c>
      <c r="BY32" s="52">
        <v>4745</v>
      </c>
      <c r="BZ32" s="52">
        <v>66.031999999999996</v>
      </c>
      <c r="CB32" s="38">
        <v>5290</v>
      </c>
      <c r="CC32" s="38">
        <v>65.790000000000006</v>
      </c>
      <c r="CE32" s="38">
        <v>4650</v>
      </c>
      <c r="CF32" s="38">
        <v>66.869</v>
      </c>
      <c r="CH32" s="38">
        <v>4977</v>
      </c>
      <c r="CI32" s="38">
        <v>68.106999999999999</v>
      </c>
      <c r="CK32" s="53">
        <v>4644</v>
      </c>
      <c r="CL32" s="53">
        <v>62.280999999999999</v>
      </c>
      <c r="CN32" s="38">
        <v>3538</v>
      </c>
      <c r="CO32" s="38">
        <v>68.210999999999999</v>
      </c>
    </row>
    <row r="33" spans="4:93" x14ac:dyDescent="0.35">
      <c r="E33" s="38">
        <v>3983</v>
      </c>
      <c r="F33" s="38">
        <v>67.203999999999994</v>
      </c>
      <c r="H33" s="38">
        <v>3725</v>
      </c>
      <c r="I33" s="38">
        <v>65.875</v>
      </c>
      <c r="K33" s="38">
        <v>3356</v>
      </c>
      <c r="L33" s="38">
        <v>65.043000000000006</v>
      </c>
      <c r="M33" s="19" t="s">
        <v>119</v>
      </c>
      <c r="N33" s="9">
        <v>4083</v>
      </c>
      <c r="O33" s="9">
        <v>61.581000000000003</v>
      </c>
      <c r="T33" s="53">
        <v>3489</v>
      </c>
      <c r="U33" s="53">
        <v>63.22</v>
      </c>
      <c r="W33" s="53">
        <v>3061</v>
      </c>
      <c r="X33" s="53">
        <v>61.256</v>
      </c>
      <c r="Z33" s="53">
        <v>3013</v>
      </c>
      <c r="AA33" s="53">
        <v>63.406999999999996</v>
      </c>
      <c r="AC33" s="53">
        <v>3314</v>
      </c>
      <c r="AD33" s="53">
        <v>60.805999999999997</v>
      </c>
      <c r="AF33" s="38">
        <v>3904</v>
      </c>
      <c r="AG33" s="38">
        <v>62.584000000000003</v>
      </c>
      <c r="AI33" s="53">
        <v>4617</v>
      </c>
      <c r="AJ33" s="53">
        <v>63.722000000000001</v>
      </c>
      <c r="AL33" s="53">
        <v>4072</v>
      </c>
      <c r="AM33" s="53">
        <v>65.399000000000001</v>
      </c>
      <c r="AO33" s="38">
        <v>3633</v>
      </c>
      <c r="AP33" s="38">
        <v>61.302</v>
      </c>
      <c r="BA33" s="38">
        <v>3275</v>
      </c>
      <c r="BB33" s="38">
        <v>60.348999999999997</v>
      </c>
      <c r="BJ33" s="38">
        <v>3403</v>
      </c>
      <c r="BK33" s="38">
        <v>61.497999999999998</v>
      </c>
      <c r="BL33" s="13" t="s">
        <v>64</v>
      </c>
      <c r="BM33" s="40">
        <v>5221</v>
      </c>
      <c r="BN33" s="40">
        <v>61.773000000000003</v>
      </c>
      <c r="BR33" s="64"/>
      <c r="BS33" s="38">
        <f t="shared" si="0"/>
        <v>5256</v>
      </c>
      <c r="BT33" s="38">
        <v>68.722999999999999</v>
      </c>
      <c r="BV33" s="53">
        <v>5161</v>
      </c>
      <c r="BW33" s="53">
        <v>62.563000000000002</v>
      </c>
      <c r="BY33" s="52">
        <v>4874</v>
      </c>
      <c r="BZ33" s="52">
        <v>66.284999999999997</v>
      </c>
      <c r="CB33" s="38">
        <v>5385</v>
      </c>
      <c r="CC33" s="38">
        <v>61.238</v>
      </c>
      <c r="CE33" s="38">
        <v>4812</v>
      </c>
      <c r="CF33" s="38">
        <v>67.501999999999995</v>
      </c>
      <c r="CH33" s="38">
        <v>5100</v>
      </c>
      <c r="CI33" s="38">
        <v>68.950999999999993</v>
      </c>
      <c r="CK33" s="53">
        <v>4806</v>
      </c>
      <c r="CL33" s="53">
        <v>62.563000000000002</v>
      </c>
      <c r="CN33" s="38">
        <v>3635</v>
      </c>
      <c r="CO33" s="38">
        <v>68.212999999999994</v>
      </c>
    </row>
    <row r="34" spans="4:93" x14ac:dyDescent="0.35">
      <c r="E34" s="38">
        <v>4126</v>
      </c>
      <c r="F34" s="38">
        <v>65.932000000000002</v>
      </c>
      <c r="H34" s="38">
        <v>3848</v>
      </c>
      <c r="I34" s="38">
        <v>64.968999999999994</v>
      </c>
      <c r="K34" s="38">
        <v>3456</v>
      </c>
      <c r="L34" s="38">
        <v>65.793000000000006</v>
      </c>
      <c r="N34" s="38">
        <v>4263</v>
      </c>
      <c r="O34" s="38">
        <v>64.227999999999994</v>
      </c>
      <c r="T34" s="53">
        <v>3675</v>
      </c>
      <c r="U34" s="53">
        <v>62.6</v>
      </c>
      <c r="W34" s="53">
        <v>3214</v>
      </c>
      <c r="X34" s="53">
        <v>64.103999999999999</v>
      </c>
      <c r="Z34" s="53">
        <v>3121</v>
      </c>
      <c r="AA34" s="53">
        <v>63.78</v>
      </c>
      <c r="AC34" s="53">
        <v>3470</v>
      </c>
      <c r="AD34" s="53">
        <v>63.44</v>
      </c>
      <c r="AF34" s="38">
        <v>4000</v>
      </c>
      <c r="AG34" s="38">
        <v>62.112000000000002</v>
      </c>
      <c r="AI34" s="53">
        <v>4755</v>
      </c>
      <c r="AJ34" s="53">
        <v>65.328000000000003</v>
      </c>
      <c r="AL34" s="53">
        <v>4260</v>
      </c>
      <c r="AM34" s="53">
        <v>62.957999999999998</v>
      </c>
      <c r="AO34" s="38">
        <v>3762</v>
      </c>
      <c r="AP34" s="38">
        <v>62.593000000000004</v>
      </c>
      <c r="BA34" s="38">
        <v>3395</v>
      </c>
      <c r="BB34" s="38">
        <v>62.558</v>
      </c>
      <c r="BJ34" s="38">
        <v>3524</v>
      </c>
      <c r="BK34" s="38">
        <v>61.116999999999997</v>
      </c>
      <c r="BM34" s="38">
        <v>5514</v>
      </c>
      <c r="BN34" s="38">
        <v>65.983000000000004</v>
      </c>
      <c r="BR34" s="64"/>
      <c r="BS34" s="38">
        <f t="shared" si="0"/>
        <v>5401</v>
      </c>
      <c r="BT34" s="38">
        <v>68.37</v>
      </c>
      <c r="BV34" s="53">
        <v>5438</v>
      </c>
      <c r="BW34" s="53">
        <v>62.679000000000002</v>
      </c>
      <c r="BY34" s="52">
        <v>5014</v>
      </c>
      <c r="BZ34" s="52">
        <v>63.45</v>
      </c>
      <c r="CB34" s="38">
        <v>5504</v>
      </c>
      <c r="CC34" s="38">
        <v>66.569999999999993</v>
      </c>
      <c r="CE34" s="38">
        <v>4912</v>
      </c>
      <c r="CF34" s="38">
        <v>67.594999999999999</v>
      </c>
      <c r="CH34" s="38">
        <v>5338</v>
      </c>
      <c r="CI34" s="38">
        <v>66.667000000000002</v>
      </c>
      <c r="CK34" s="53">
        <v>5084</v>
      </c>
      <c r="CL34" s="53">
        <v>62.679000000000002</v>
      </c>
      <c r="CN34" s="38">
        <v>3738</v>
      </c>
      <c r="CO34" s="38">
        <v>66.004000000000005</v>
      </c>
    </row>
    <row r="35" spans="4:93" x14ac:dyDescent="0.35">
      <c r="E35" s="38">
        <v>4242</v>
      </c>
      <c r="F35" s="38">
        <v>67.805000000000007</v>
      </c>
      <c r="H35" s="38">
        <v>4010</v>
      </c>
      <c r="I35" s="38">
        <v>66.992000000000004</v>
      </c>
      <c r="K35" s="38">
        <v>3553</v>
      </c>
      <c r="L35" s="38">
        <v>65.622</v>
      </c>
      <c r="N35" s="38">
        <v>4373</v>
      </c>
      <c r="O35" s="38">
        <v>63.680999999999997</v>
      </c>
      <c r="T35" s="53">
        <v>3889</v>
      </c>
      <c r="U35" s="53">
        <v>64.091999999999999</v>
      </c>
      <c r="W35" s="53">
        <v>3337</v>
      </c>
      <c r="X35" s="53">
        <v>65.116</v>
      </c>
      <c r="Z35" s="38">
        <v>3232</v>
      </c>
      <c r="AA35" s="53">
        <v>63.448</v>
      </c>
      <c r="AC35" s="53">
        <v>3544</v>
      </c>
      <c r="AD35" s="53">
        <v>64.623999999999995</v>
      </c>
      <c r="AF35" s="38">
        <v>4120</v>
      </c>
      <c r="AG35" s="38">
        <v>61.75</v>
      </c>
      <c r="AI35" s="53">
        <v>4964</v>
      </c>
      <c r="AJ35" s="53">
        <v>63.604999999999997</v>
      </c>
      <c r="AL35" s="53">
        <v>4418</v>
      </c>
      <c r="AM35" s="53">
        <v>61.493000000000002</v>
      </c>
      <c r="AO35" s="38">
        <v>3995</v>
      </c>
      <c r="AP35" s="38">
        <v>65.885999999999996</v>
      </c>
      <c r="BA35" s="38">
        <v>3515</v>
      </c>
      <c r="BB35" s="38">
        <v>63.85</v>
      </c>
      <c r="BJ35" s="38">
        <v>3635</v>
      </c>
      <c r="BK35" s="38">
        <v>61.082999999999998</v>
      </c>
      <c r="BL35" s="13" t="s">
        <v>234</v>
      </c>
      <c r="BM35" s="40">
        <v>5680</v>
      </c>
      <c r="BN35" s="40">
        <v>65.55</v>
      </c>
      <c r="BR35" s="64"/>
      <c r="BS35" s="38">
        <f t="shared" si="0"/>
        <v>5636</v>
      </c>
      <c r="BT35" s="38">
        <v>66.759</v>
      </c>
      <c r="BV35" s="53">
        <v>5550</v>
      </c>
      <c r="BW35" s="53">
        <v>63.008000000000003</v>
      </c>
      <c r="BY35" s="52">
        <v>5162</v>
      </c>
      <c r="BZ35" s="52">
        <v>61.423000000000002</v>
      </c>
      <c r="CB35" s="38">
        <v>5618</v>
      </c>
      <c r="CC35" s="38">
        <v>65.432000000000002</v>
      </c>
      <c r="CE35" s="38">
        <v>5044</v>
      </c>
      <c r="CF35" s="38">
        <v>66.444999999999993</v>
      </c>
      <c r="CH35" s="38">
        <v>5430</v>
      </c>
      <c r="CI35" s="38">
        <v>66.869</v>
      </c>
      <c r="CJ35" s="64"/>
      <c r="CK35" s="53">
        <v>5225</v>
      </c>
      <c r="CL35" s="53">
        <v>63.326000000000001</v>
      </c>
      <c r="CN35" s="38">
        <v>3836</v>
      </c>
      <c r="CO35" s="38">
        <v>66.105999999999995</v>
      </c>
    </row>
    <row r="36" spans="4:93" x14ac:dyDescent="0.35">
      <c r="E36" s="38">
        <v>4362</v>
      </c>
      <c r="F36" s="38">
        <v>66.471000000000004</v>
      </c>
      <c r="H36" s="38">
        <v>4106</v>
      </c>
      <c r="I36" s="38">
        <v>65.001999999999995</v>
      </c>
      <c r="K36" s="38">
        <v>3647</v>
      </c>
      <c r="L36" s="38">
        <v>66.688999999999993</v>
      </c>
      <c r="N36" s="38">
        <v>4535</v>
      </c>
      <c r="O36" s="38">
        <v>61.639000000000003</v>
      </c>
      <c r="T36" s="53">
        <v>4068</v>
      </c>
      <c r="U36" s="53">
        <v>63.274000000000001</v>
      </c>
      <c r="W36" s="53">
        <v>3506</v>
      </c>
      <c r="X36" s="53">
        <v>64.281000000000006</v>
      </c>
      <c r="Z36" s="38">
        <v>3319</v>
      </c>
      <c r="AA36" s="53">
        <v>62.631</v>
      </c>
      <c r="AC36" s="53">
        <v>3652</v>
      </c>
      <c r="AD36" s="53">
        <v>65.481999999999999</v>
      </c>
      <c r="AF36" s="38">
        <v>4320</v>
      </c>
      <c r="AG36" s="38">
        <v>61.21</v>
      </c>
      <c r="AI36" s="53">
        <v>5135</v>
      </c>
      <c r="AJ36" s="53">
        <v>63.295999999999999</v>
      </c>
      <c r="AL36" s="53">
        <v>4583</v>
      </c>
      <c r="AM36" s="53">
        <v>63.771999999999998</v>
      </c>
      <c r="AO36" s="38">
        <v>4278</v>
      </c>
      <c r="AP36" s="38">
        <v>62.332000000000001</v>
      </c>
      <c r="BA36" s="38">
        <v>3615</v>
      </c>
      <c r="BB36" s="38">
        <v>65.378</v>
      </c>
      <c r="BJ36" s="38">
        <v>3841</v>
      </c>
      <c r="BK36" s="38">
        <v>62.393999999999998</v>
      </c>
      <c r="BR36" s="64"/>
      <c r="BS36" s="38">
        <f t="shared" si="0"/>
        <v>5802</v>
      </c>
      <c r="BT36" s="38">
        <v>66.433000000000007</v>
      </c>
      <c r="BV36" s="53">
        <v>5648</v>
      </c>
      <c r="BW36" s="53">
        <v>61.283999999999999</v>
      </c>
      <c r="BY36" s="52">
        <v>5298</v>
      </c>
      <c r="BZ36" s="52">
        <v>64.564999999999998</v>
      </c>
      <c r="CB36" s="38">
        <v>5832</v>
      </c>
      <c r="CC36" s="38">
        <v>62.637</v>
      </c>
      <c r="CE36" s="38">
        <v>5143</v>
      </c>
      <c r="CF36" s="38">
        <v>66.385000000000005</v>
      </c>
      <c r="CH36" s="38">
        <v>5591</v>
      </c>
      <c r="CI36" s="38">
        <v>67.501999999999995</v>
      </c>
      <c r="CK36" s="53">
        <v>5335</v>
      </c>
      <c r="CL36" s="53">
        <v>60.756</v>
      </c>
      <c r="CN36" s="38">
        <v>3939</v>
      </c>
      <c r="CO36" s="38">
        <v>67.355999999999995</v>
      </c>
    </row>
    <row r="37" spans="4:93" x14ac:dyDescent="0.35">
      <c r="E37" s="38">
        <v>4547</v>
      </c>
      <c r="F37" s="38">
        <v>65.397999999999996</v>
      </c>
      <c r="H37" s="38">
        <v>4241</v>
      </c>
      <c r="I37" s="38">
        <v>63.106000000000002</v>
      </c>
      <c r="K37" s="38">
        <v>3830</v>
      </c>
      <c r="L37" s="38">
        <v>66.28</v>
      </c>
      <c r="M37" s="19" t="s">
        <v>64</v>
      </c>
      <c r="N37" s="9">
        <v>4660</v>
      </c>
      <c r="O37" s="9">
        <v>61.75</v>
      </c>
      <c r="T37" s="53">
        <v>4246</v>
      </c>
      <c r="U37" s="53">
        <v>63.406999999999996</v>
      </c>
      <c r="W37" s="53">
        <v>3637</v>
      </c>
      <c r="X37" s="53">
        <v>61.905999999999999</v>
      </c>
      <c r="Z37" s="38">
        <v>3410</v>
      </c>
      <c r="AA37" s="53">
        <v>62.646000000000001</v>
      </c>
      <c r="AC37" s="53">
        <v>3897</v>
      </c>
      <c r="AD37" s="53">
        <v>62.655000000000001</v>
      </c>
      <c r="AF37" s="38">
        <v>4469</v>
      </c>
      <c r="AG37" s="38">
        <v>61.366999999999997</v>
      </c>
      <c r="AH37" s="13" t="s">
        <v>119</v>
      </c>
      <c r="AI37" s="40">
        <v>5296</v>
      </c>
      <c r="AJ37" s="40">
        <v>61.773000000000003</v>
      </c>
      <c r="AL37" s="53">
        <v>4703</v>
      </c>
      <c r="AM37" s="53">
        <v>65.481999999999999</v>
      </c>
      <c r="AO37" s="38">
        <v>4505</v>
      </c>
      <c r="AP37" s="38">
        <v>61.500999999999998</v>
      </c>
      <c r="BA37" s="38">
        <v>3720</v>
      </c>
      <c r="BB37" s="38">
        <v>65.650999999999996</v>
      </c>
      <c r="BJ37" s="38">
        <v>4047</v>
      </c>
      <c r="BK37" s="38">
        <v>65.436999999999998</v>
      </c>
      <c r="BR37" s="64"/>
      <c r="BS37" s="38">
        <f t="shared" si="0"/>
        <v>6114</v>
      </c>
      <c r="BT37" s="38">
        <v>66.384</v>
      </c>
      <c r="BU37" s="19" t="s">
        <v>119</v>
      </c>
      <c r="BV37" s="9">
        <v>5691</v>
      </c>
      <c r="BW37" s="9">
        <v>60.756</v>
      </c>
      <c r="BY37" s="52">
        <v>5434</v>
      </c>
      <c r="BZ37" s="52">
        <v>56.021000000000001</v>
      </c>
      <c r="CA37" s="19" t="s">
        <v>110</v>
      </c>
      <c r="CB37" s="9">
        <v>6062</v>
      </c>
      <c r="CC37" s="9">
        <v>61.576000000000001</v>
      </c>
      <c r="CE37" s="38">
        <v>5273</v>
      </c>
      <c r="CF37" s="38">
        <v>65.786000000000001</v>
      </c>
      <c r="CH37" s="38">
        <v>5690</v>
      </c>
      <c r="CI37" s="38">
        <v>67.594999999999999</v>
      </c>
      <c r="CK37" s="53">
        <v>5507</v>
      </c>
      <c r="CL37" s="53">
        <v>62.636000000000003</v>
      </c>
      <c r="CN37" s="38">
        <v>4039</v>
      </c>
      <c r="CO37" s="38">
        <v>67.129000000000005</v>
      </c>
    </row>
    <row r="38" spans="4:93" x14ac:dyDescent="0.35">
      <c r="E38" s="38">
        <v>4698</v>
      </c>
      <c r="F38" s="38">
        <v>64.744</v>
      </c>
      <c r="H38" s="38">
        <v>4307</v>
      </c>
      <c r="I38" s="38">
        <v>63.182000000000002</v>
      </c>
      <c r="K38" s="38">
        <v>3906</v>
      </c>
      <c r="L38" s="38">
        <v>65.92</v>
      </c>
      <c r="N38" s="38">
        <v>4855</v>
      </c>
      <c r="O38" s="38">
        <v>63.866</v>
      </c>
      <c r="T38" s="53">
        <v>4457</v>
      </c>
      <c r="U38" s="53">
        <v>62.843000000000004</v>
      </c>
      <c r="W38" s="53">
        <v>3824</v>
      </c>
      <c r="X38" s="53">
        <v>60.795000000000002</v>
      </c>
      <c r="Z38" s="38">
        <v>3487</v>
      </c>
      <c r="AA38" s="53">
        <v>693.73</v>
      </c>
      <c r="AC38" s="53">
        <v>4155</v>
      </c>
      <c r="AD38" s="53">
        <v>60.472000000000001</v>
      </c>
      <c r="AF38" s="38">
        <v>4588</v>
      </c>
      <c r="AG38" s="38">
        <v>60.896999999999998</v>
      </c>
      <c r="AI38" s="40">
        <v>5355</v>
      </c>
      <c r="AJ38" s="40">
        <v>62.744999999999997</v>
      </c>
      <c r="AL38" s="53">
        <v>4857</v>
      </c>
      <c r="AM38" s="53">
        <v>64.811999999999998</v>
      </c>
      <c r="AO38" s="38">
        <v>4740</v>
      </c>
      <c r="AP38" s="38">
        <v>62.145000000000003</v>
      </c>
      <c r="BA38" s="38">
        <v>3799</v>
      </c>
      <c r="BB38" s="38">
        <v>64.364000000000004</v>
      </c>
      <c r="BJ38" s="38">
        <v>4159</v>
      </c>
      <c r="BK38" s="38">
        <v>66.63</v>
      </c>
      <c r="BR38" s="64"/>
      <c r="BS38" s="38">
        <f t="shared" si="0"/>
        <v>6426</v>
      </c>
      <c r="BT38" s="38">
        <v>65.201999999999998</v>
      </c>
      <c r="BV38" s="53">
        <v>5826</v>
      </c>
      <c r="BW38" s="53">
        <v>61.841000000000001</v>
      </c>
      <c r="BX38" s="13" t="s">
        <v>265</v>
      </c>
      <c r="BY38" s="27">
        <v>5638</v>
      </c>
      <c r="BZ38" s="27">
        <v>57.253999999999998</v>
      </c>
      <c r="CB38" s="38">
        <v>6231</v>
      </c>
      <c r="CC38" s="38">
        <v>62.563000000000002</v>
      </c>
      <c r="CE38" s="38">
        <v>5604</v>
      </c>
      <c r="CF38" s="38">
        <v>63.9</v>
      </c>
      <c r="CH38" s="38">
        <v>5821</v>
      </c>
      <c r="CI38" s="38">
        <v>66.444999999999993</v>
      </c>
      <c r="CK38" s="53">
        <v>5798</v>
      </c>
      <c r="CL38" s="53">
        <v>64.319999999999993</v>
      </c>
      <c r="CN38" s="38">
        <v>4134</v>
      </c>
      <c r="CO38" s="38">
        <v>67.78</v>
      </c>
    </row>
    <row r="39" spans="4:93" x14ac:dyDescent="0.35">
      <c r="E39" s="38">
        <v>4798</v>
      </c>
      <c r="F39" s="38">
        <v>66.099999999999994</v>
      </c>
      <c r="H39" s="38">
        <v>4406</v>
      </c>
      <c r="I39" s="38">
        <v>63.174999999999997</v>
      </c>
      <c r="K39" s="38">
        <v>3971</v>
      </c>
      <c r="L39" s="38">
        <v>65.876000000000005</v>
      </c>
      <c r="N39" s="38">
        <v>4948</v>
      </c>
      <c r="O39" s="38">
        <v>63.819000000000003</v>
      </c>
      <c r="T39" s="53">
        <v>4668</v>
      </c>
      <c r="U39" s="53">
        <v>62.642000000000003</v>
      </c>
      <c r="W39" s="53">
        <v>4049</v>
      </c>
      <c r="X39" s="53">
        <v>64.207999999999998</v>
      </c>
      <c r="Z39" s="38">
        <v>3578</v>
      </c>
      <c r="AA39" s="53">
        <v>63.351999999999997</v>
      </c>
      <c r="AC39" s="53">
        <v>4357</v>
      </c>
      <c r="AD39" s="53">
        <v>61.996000000000002</v>
      </c>
      <c r="AF39" s="38">
        <v>4696</v>
      </c>
      <c r="AG39" s="38">
        <v>61.332000000000001</v>
      </c>
      <c r="AI39" s="53">
        <v>5706</v>
      </c>
      <c r="AJ39" s="53">
        <v>65.266000000000005</v>
      </c>
      <c r="AL39" s="53">
        <v>4914</v>
      </c>
      <c r="AM39" s="53">
        <v>63.683999999999997</v>
      </c>
      <c r="AN39" s="13" t="s">
        <v>119</v>
      </c>
      <c r="AO39" s="40">
        <v>4904</v>
      </c>
      <c r="AP39" s="40">
        <v>63.222000000000001</v>
      </c>
      <c r="BA39" s="38">
        <v>3960</v>
      </c>
      <c r="BB39" s="38">
        <v>62.332000000000001</v>
      </c>
      <c r="BJ39" s="38">
        <v>4277</v>
      </c>
      <c r="BK39" s="38">
        <v>65.453000000000003</v>
      </c>
      <c r="BR39" s="13" t="s">
        <v>234</v>
      </c>
      <c r="BS39" s="15">
        <f t="shared" si="0"/>
        <v>6619</v>
      </c>
      <c r="BT39" s="15">
        <v>65.55</v>
      </c>
      <c r="BV39" s="53">
        <v>5919</v>
      </c>
      <c r="BW39" s="53">
        <v>63.11</v>
      </c>
      <c r="BY39" s="52">
        <v>5747</v>
      </c>
      <c r="BZ39" s="52">
        <v>57.244</v>
      </c>
      <c r="CB39" s="38">
        <v>6480</v>
      </c>
      <c r="CC39" s="38">
        <v>63.613</v>
      </c>
      <c r="CD39" s="13" t="s">
        <v>110</v>
      </c>
      <c r="CE39" s="15">
        <v>5813</v>
      </c>
      <c r="CF39" s="15">
        <v>62.854999999999997</v>
      </c>
      <c r="CH39" s="38">
        <v>5890</v>
      </c>
      <c r="CI39" s="38">
        <v>65.790000000000006</v>
      </c>
      <c r="CK39" s="53">
        <v>6003</v>
      </c>
      <c r="CL39" s="53">
        <v>66.597999999999999</v>
      </c>
      <c r="CN39" s="38">
        <v>4240</v>
      </c>
      <c r="CO39" s="38">
        <v>67.587000000000003</v>
      </c>
    </row>
    <row r="40" spans="4:93" x14ac:dyDescent="0.35">
      <c r="E40" s="38">
        <v>4919</v>
      </c>
      <c r="F40" s="38">
        <v>65.53</v>
      </c>
      <c r="H40" s="38">
        <v>4501</v>
      </c>
      <c r="I40" s="38">
        <v>64.271000000000001</v>
      </c>
      <c r="K40" s="38">
        <v>4265</v>
      </c>
      <c r="L40" s="38">
        <v>65.375</v>
      </c>
      <c r="N40" s="38">
        <v>5092</v>
      </c>
      <c r="O40" s="38">
        <v>65.745999999999995</v>
      </c>
      <c r="T40" s="53">
        <v>4831</v>
      </c>
      <c r="U40" s="53">
        <v>65.352000000000004</v>
      </c>
      <c r="W40" s="53">
        <v>4186</v>
      </c>
      <c r="X40" s="53">
        <v>63.753999999999998</v>
      </c>
      <c r="Z40" s="38">
        <v>3701</v>
      </c>
      <c r="AA40" s="53">
        <v>63.170999999999999</v>
      </c>
      <c r="AC40" s="53">
        <v>4545</v>
      </c>
      <c r="AD40" s="53">
        <v>64.031000000000006</v>
      </c>
      <c r="AF40" s="38">
        <v>4796</v>
      </c>
      <c r="AG40" s="38">
        <v>61.621000000000002</v>
      </c>
      <c r="AH40" s="13" t="s">
        <v>234</v>
      </c>
      <c r="AI40" s="40">
        <v>5818</v>
      </c>
      <c r="AJ40" s="40">
        <v>65.55</v>
      </c>
      <c r="AL40" s="53">
        <v>5091</v>
      </c>
      <c r="AM40" s="53">
        <v>63.116999999999997</v>
      </c>
      <c r="AO40" s="38">
        <v>5073</v>
      </c>
      <c r="AP40" s="38">
        <v>66.402000000000001</v>
      </c>
      <c r="BA40" s="38">
        <v>4186</v>
      </c>
      <c r="BB40" s="38">
        <v>61.500999999999998</v>
      </c>
      <c r="BJ40" s="38">
        <v>4401</v>
      </c>
      <c r="BK40" s="38">
        <v>64.710999999999999</v>
      </c>
      <c r="BV40" s="53">
        <v>6130</v>
      </c>
      <c r="BW40" s="53">
        <v>64.319999999999993</v>
      </c>
      <c r="BY40" s="52">
        <v>5883</v>
      </c>
      <c r="BZ40" s="52">
        <v>60.307000000000002</v>
      </c>
      <c r="CB40" s="38">
        <v>6649</v>
      </c>
      <c r="CC40" s="38">
        <v>63.326000000000001</v>
      </c>
      <c r="CE40" s="38">
        <v>5890</v>
      </c>
      <c r="CF40" s="38">
        <v>62.280999999999999</v>
      </c>
      <c r="CH40" s="38">
        <v>6052</v>
      </c>
      <c r="CI40" s="38">
        <v>65.786000000000001</v>
      </c>
      <c r="CK40" s="53">
        <v>6249</v>
      </c>
      <c r="CL40" s="53">
        <v>66.031999999999996</v>
      </c>
      <c r="CN40" s="38">
        <v>4329</v>
      </c>
      <c r="CO40" s="38">
        <v>67.334000000000003</v>
      </c>
    </row>
    <row r="41" spans="4:93" x14ac:dyDescent="0.35">
      <c r="E41" s="38">
        <v>5081</v>
      </c>
      <c r="F41" s="38">
        <v>63.798000000000002</v>
      </c>
      <c r="H41" s="38">
        <v>4607</v>
      </c>
      <c r="I41" s="38">
        <v>63.390999999999998</v>
      </c>
      <c r="K41" s="38">
        <v>4428</v>
      </c>
      <c r="L41" s="38">
        <v>65.875</v>
      </c>
      <c r="M41" s="19" t="s">
        <v>234</v>
      </c>
      <c r="N41" s="9">
        <v>5377</v>
      </c>
      <c r="O41" s="9">
        <v>66.748000000000005</v>
      </c>
      <c r="T41" s="53">
        <v>5029</v>
      </c>
      <c r="U41" s="53">
        <v>62.749000000000002</v>
      </c>
      <c r="V41" s="13" t="s">
        <v>119</v>
      </c>
      <c r="W41" s="40">
        <v>4341</v>
      </c>
      <c r="X41" s="40">
        <v>65.299000000000007</v>
      </c>
      <c r="Z41" s="38">
        <v>3882</v>
      </c>
      <c r="AA41" s="53">
        <v>62.118000000000002</v>
      </c>
      <c r="AB41" s="13" t="s">
        <v>119</v>
      </c>
      <c r="AC41" s="40">
        <v>4649</v>
      </c>
      <c r="AD41" s="40">
        <v>63.222000000000001</v>
      </c>
      <c r="AF41" s="38">
        <v>4897</v>
      </c>
      <c r="AG41" s="38">
        <v>61.768000000000001</v>
      </c>
      <c r="AK41" s="19" t="s">
        <v>119</v>
      </c>
      <c r="AL41" s="39">
        <v>5309</v>
      </c>
      <c r="AM41" s="39">
        <v>62.08</v>
      </c>
      <c r="AO41" s="38">
        <v>5273</v>
      </c>
      <c r="AP41" s="38">
        <v>64.787999999999997</v>
      </c>
      <c r="BA41" s="38">
        <v>4382</v>
      </c>
      <c r="BB41" s="38">
        <v>61.822000000000003</v>
      </c>
      <c r="BJ41" s="38">
        <v>4530</v>
      </c>
      <c r="BK41" s="38">
        <v>62.694000000000003</v>
      </c>
      <c r="BV41" s="53">
        <v>5239</v>
      </c>
      <c r="BW41" s="53">
        <v>63.904000000000003</v>
      </c>
      <c r="BY41" s="52">
        <v>6043</v>
      </c>
      <c r="BZ41" s="52">
        <v>62.962000000000003</v>
      </c>
      <c r="CB41" s="38">
        <v>6759</v>
      </c>
      <c r="CC41" s="53">
        <v>60.756</v>
      </c>
      <c r="CE41" s="38">
        <v>6157</v>
      </c>
      <c r="CF41" s="38">
        <v>63.116999999999997</v>
      </c>
      <c r="CH41" s="38">
        <v>6215</v>
      </c>
      <c r="CI41" s="38">
        <v>65.432000000000002</v>
      </c>
      <c r="CK41" s="53">
        <v>6377</v>
      </c>
      <c r="CL41" s="53">
        <v>66.284999999999997</v>
      </c>
      <c r="CN41" s="38">
        <v>4442</v>
      </c>
      <c r="CO41" s="38">
        <v>67.801000000000002</v>
      </c>
    </row>
    <row r="42" spans="4:93" x14ac:dyDescent="0.35">
      <c r="E42" s="38">
        <v>5189</v>
      </c>
      <c r="F42" s="38">
        <v>62.405999999999999</v>
      </c>
      <c r="H42" s="38">
        <v>4783</v>
      </c>
      <c r="I42" s="38">
        <v>61.552999999999997</v>
      </c>
      <c r="K42" s="38">
        <v>4555</v>
      </c>
      <c r="L42" s="38">
        <v>64.968999999999994</v>
      </c>
      <c r="T42" s="53">
        <v>5301</v>
      </c>
      <c r="U42" s="53">
        <v>60.765000000000001</v>
      </c>
      <c r="W42" s="40">
        <v>4419</v>
      </c>
      <c r="X42" s="40">
        <v>65.903000000000006</v>
      </c>
      <c r="Z42" s="38">
        <v>4048</v>
      </c>
      <c r="AA42" s="53">
        <v>60.765000000000001</v>
      </c>
      <c r="AC42" s="53">
        <v>4708</v>
      </c>
      <c r="AD42" s="53">
        <v>65.903000000000006</v>
      </c>
      <c r="AF42" s="38">
        <v>4994</v>
      </c>
      <c r="AG42" s="38">
        <v>61.768000000000001</v>
      </c>
      <c r="AL42" s="39">
        <v>5358</v>
      </c>
      <c r="AM42" s="39">
        <v>62.744999999999997</v>
      </c>
      <c r="AO42" s="38">
        <v>5488</v>
      </c>
      <c r="AP42" s="38">
        <v>61.165999999999997</v>
      </c>
      <c r="BA42" s="38">
        <v>4587</v>
      </c>
      <c r="BB42" s="38">
        <v>63.222000000000001</v>
      </c>
      <c r="BJ42" s="38">
        <v>4636</v>
      </c>
      <c r="BK42" s="38">
        <v>62.39</v>
      </c>
      <c r="BV42" s="53">
        <v>6325</v>
      </c>
      <c r="BW42" s="53">
        <v>65.347999999999999</v>
      </c>
      <c r="BY42" s="52">
        <v>6213</v>
      </c>
      <c r="BZ42" s="52">
        <v>63.552</v>
      </c>
      <c r="CB42" s="38">
        <v>6931</v>
      </c>
      <c r="CC42" s="53">
        <v>62.636000000000003</v>
      </c>
      <c r="CE42" s="38">
        <v>6301</v>
      </c>
      <c r="CF42" s="38">
        <v>63.613</v>
      </c>
      <c r="CH42" s="38">
        <v>6432</v>
      </c>
      <c r="CI42" s="38">
        <v>62.637</v>
      </c>
      <c r="CK42" s="53">
        <v>6667</v>
      </c>
      <c r="CL42" s="53">
        <v>61.423000000000002</v>
      </c>
      <c r="CN42" s="38">
        <v>4541</v>
      </c>
      <c r="CO42" s="38">
        <v>67.429000000000002</v>
      </c>
    </row>
    <row r="43" spans="4:93" x14ac:dyDescent="0.35">
      <c r="E43" s="38">
        <v>5373</v>
      </c>
      <c r="F43" s="38">
        <v>63.847000000000001</v>
      </c>
      <c r="H43" s="38">
        <v>4897</v>
      </c>
      <c r="I43" s="38">
        <v>60.103000000000002</v>
      </c>
      <c r="K43" s="38">
        <v>4715</v>
      </c>
      <c r="L43" s="38">
        <v>66.992000000000004</v>
      </c>
      <c r="T43" s="53">
        <v>5562</v>
      </c>
      <c r="U43" s="53">
        <v>64.188000000000002</v>
      </c>
      <c r="W43" s="53">
        <v>4596</v>
      </c>
      <c r="X43" s="53">
        <v>65.399000000000001</v>
      </c>
      <c r="Z43" s="38">
        <v>4134</v>
      </c>
      <c r="AA43" s="53">
        <v>61.014000000000003</v>
      </c>
      <c r="AC43" s="53">
        <v>4887</v>
      </c>
      <c r="AD43" s="53">
        <v>65.399000000000001</v>
      </c>
      <c r="AF43" s="38">
        <v>5091</v>
      </c>
      <c r="AG43" s="38">
        <v>62.31</v>
      </c>
      <c r="AL43" s="53">
        <v>5389</v>
      </c>
      <c r="AM43" s="53">
        <v>62.392000000000003</v>
      </c>
      <c r="AO43" s="38">
        <v>4748</v>
      </c>
      <c r="AP43" s="38">
        <v>62.499000000000002</v>
      </c>
      <c r="BA43" s="38">
        <v>4617</v>
      </c>
      <c r="BB43" s="38">
        <v>63.220999999999997</v>
      </c>
      <c r="BJ43" s="38">
        <v>4800</v>
      </c>
      <c r="BK43" s="38">
        <v>61.944000000000003</v>
      </c>
      <c r="BV43" s="53">
        <v>6438</v>
      </c>
      <c r="BW43" s="53">
        <v>64.557000000000002</v>
      </c>
      <c r="BY43" s="52">
        <v>6341</v>
      </c>
      <c r="BZ43" s="52">
        <v>65.218000000000004</v>
      </c>
      <c r="CB43" s="38">
        <v>7222</v>
      </c>
      <c r="CC43" s="53">
        <v>64.319999999999993</v>
      </c>
      <c r="CE43" s="38">
        <v>6443</v>
      </c>
      <c r="CF43" s="38">
        <v>63.008000000000003</v>
      </c>
      <c r="CG43" s="19" t="s">
        <v>110</v>
      </c>
      <c r="CH43" s="9">
        <v>6594</v>
      </c>
      <c r="CI43" s="9">
        <v>62.854999999999997</v>
      </c>
      <c r="CK43" s="53">
        <v>6940</v>
      </c>
      <c r="CL43" s="53">
        <v>56.021000000000001</v>
      </c>
      <c r="CN43" s="38">
        <v>4642</v>
      </c>
      <c r="CO43" s="38">
        <v>66.988</v>
      </c>
    </row>
    <row r="44" spans="4:93" x14ac:dyDescent="0.35">
      <c r="E44" s="38">
        <v>5554</v>
      </c>
      <c r="F44" s="38">
        <v>62.985999999999997</v>
      </c>
      <c r="H44" s="38">
        <v>5086</v>
      </c>
      <c r="I44" s="38">
        <v>62.061999999999998</v>
      </c>
      <c r="K44" s="38">
        <v>4826</v>
      </c>
      <c r="L44" s="38">
        <v>65.111000000000004</v>
      </c>
      <c r="T44" s="53">
        <v>5818</v>
      </c>
      <c r="U44" s="53">
        <v>64.364000000000004</v>
      </c>
      <c r="W44" s="53">
        <v>4786</v>
      </c>
      <c r="X44" s="53">
        <v>62.957999999999998</v>
      </c>
      <c r="Z44" s="38">
        <v>4376</v>
      </c>
      <c r="AA44" s="53">
        <v>65.015000000000001</v>
      </c>
      <c r="AC44" s="53">
        <v>5077</v>
      </c>
      <c r="AD44" s="53">
        <v>62.957999999999998</v>
      </c>
      <c r="AF44" s="38">
        <v>5300</v>
      </c>
      <c r="AG44" s="38">
        <v>62.86</v>
      </c>
      <c r="AL44" s="53">
        <v>5571</v>
      </c>
      <c r="AM44" s="53">
        <v>66.625</v>
      </c>
      <c r="AO44" s="38">
        <v>6019</v>
      </c>
      <c r="AP44" s="38">
        <v>64.197999999999993</v>
      </c>
      <c r="BA44" s="38">
        <v>4736</v>
      </c>
      <c r="BB44" s="38">
        <v>65.673000000000002</v>
      </c>
      <c r="BJ44" s="38">
        <v>5140</v>
      </c>
      <c r="BK44" s="38">
        <v>64.531999999999996</v>
      </c>
      <c r="BV44" s="53">
        <v>6547</v>
      </c>
      <c r="BW44" s="53">
        <v>65.242999999999995</v>
      </c>
      <c r="BY44" s="52">
        <v>6444</v>
      </c>
      <c r="BZ44" s="52">
        <v>65.754999999999995</v>
      </c>
      <c r="CB44" s="38">
        <v>7427</v>
      </c>
      <c r="CC44" s="53">
        <v>66.597999999999999</v>
      </c>
      <c r="CE44" s="38">
        <v>6543</v>
      </c>
      <c r="CF44" s="38">
        <v>61.283999999999999</v>
      </c>
      <c r="CH44" s="38">
        <v>6669</v>
      </c>
      <c r="CI44" s="38">
        <v>62.280999999999999</v>
      </c>
      <c r="CJ44" s="13" t="s">
        <v>265</v>
      </c>
      <c r="CK44" s="15">
        <v>7070</v>
      </c>
      <c r="CL44" s="15">
        <v>57.253999999999998</v>
      </c>
      <c r="CN44" s="38">
        <v>4740</v>
      </c>
      <c r="CO44" s="38">
        <v>67.218999999999994</v>
      </c>
    </row>
    <row r="45" spans="4:93" x14ac:dyDescent="0.35">
      <c r="E45" s="38">
        <v>5744</v>
      </c>
      <c r="F45" s="38">
        <v>59.728999999999999</v>
      </c>
      <c r="G45" s="19" t="s">
        <v>119</v>
      </c>
      <c r="H45" s="39">
        <v>5179</v>
      </c>
      <c r="I45" s="39">
        <v>62.593000000000004</v>
      </c>
      <c r="K45" s="38">
        <v>4927</v>
      </c>
      <c r="L45" s="38">
        <v>63.32</v>
      </c>
      <c r="T45" s="53">
        <v>6020</v>
      </c>
      <c r="U45" s="53">
        <v>61.497999999999998</v>
      </c>
      <c r="W45" s="53">
        <v>4944</v>
      </c>
      <c r="X45" s="53">
        <v>61.493000000000002</v>
      </c>
      <c r="Z45" s="38">
        <v>4679</v>
      </c>
      <c r="AA45" s="53">
        <v>62.725999999999999</v>
      </c>
      <c r="AC45" s="53">
        <v>5235</v>
      </c>
      <c r="AD45" s="53">
        <v>61.493000000000002</v>
      </c>
      <c r="AF45" s="38">
        <v>5400</v>
      </c>
      <c r="AG45" s="38">
        <v>63.421999999999997</v>
      </c>
      <c r="AL45" s="53">
        <v>5695</v>
      </c>
      <c r="AM45" s="53">
        <v>64.021000000000001</v>
      </c>
      <c r="AO45" s="38">
        <v>6221</v>
      </c>
      <c r="AP45" s="38">
        <v>64.210999999999999</v>
      </c>
      <c r="BA45" s="38">
        <v>4951</v>
      </c>
      <c r="BB45" s="38">
        <v>64.787999999999997</v>
      </c>
      <c r="BJ45" s="38">
        <v>5245</v>
      </c>
      <c r="BK45" s="38">
        <v>63.598999999999997</v>
      </c>
      <c r="BV45" s="53">
        <v>6651</v>
      </c>
      <c r="BW45" s="53">
        <v>63.576000000000001</v>
      </c>
      <c r="BY45" s="52">
        <v>6544</v>
      </c>
      <c r="BZ45" s="52">
        <v>66.697999999999993</v>
      </c>
      <c r="CB45" s="38">
        <v>7673</v>
      </c>
      <c r="CC45" s="53">
        <v>66.031999999999996</v>
      </c>
      <c r="CD45" s="13" t="s">
        <v>119</v>
      </c>
      <c r="CE45" s="15">
        <v>6585</v>
      </c>
      <c r="CF45" s="15">
        <v>60.756</v>
      </c>
      <c r="CH45" s="38">
        <v>6831</v>
      </c>
      <c r="CI45" s="38">
        <v>62.563000000000002</v>
      </c>
      <c r="CK45" s="53">
        <v>7269</v>
      </c>
      <c r="CL45" s="53">
        <v>57.244</v>
      </c>
      <c r="CN45" s="38">
        <v>4846</v>
      </c>
      <c r="CO45" s="38">
        <v>68.488</v>
      </c>
    </row>
    <row r="46" spans="4:93" x14ac:dyDescent="0.35">
      <c r="E46" s="38">
        <v>5870</v>
      </c>
      <c r="F46" s="38">
        <v>60.811</v>
      </c>
      <c r="H46" s="38">
        <v>5267</v>
      </c>
      <c r="I46" s="38">
        <v>63.493000000000002</v>
      </c>
      <c r="K46" s="38">
        <v>5028</v>
      </c>
      <c r="L46" s="38">
        <v>62.639000000000003</v>
      </c>
      <c r="T46" s="53">
        <v>6204</v>
      </c>
      <c r="U46" s="53">
        <v>61.500999999999998</v>
      </c>
      <c r="W46" s="53">
        <v>5194</v>
      </c>
      <c r="X46" s="53">
        <v>64.230999999999995</v>
      </c>
      <c r="Z46" s="38">
        <v>4889</v>
      </c>
      <c r="AA46" s="53">
        <v>61.012</v>
      </c>
      <c r="AC46" s="53">
        <v>5400</v>
      </c>
      <c r="AD46" s="53">
        <v>63.771999999999998</v>
      </c>
      <c r="AF46" s="38">
        <v>5503</v>
      </c>
      <c r="AG46" s="38">
        <v>64.119</v>
      </c>
      <c r="AK46" s="19" t="s">
        <v>234</v>
      </c>
      <c r="AL46" s="39">
        <v>5818</v>
      </c>
      <c r="AM46" s="39">
        <v>65.55</v>
      </c>
      <c r="AN46" s="13" t="s">
        <v>64</v>
      </c>
      <c r="AO46" s="15">
        <v>6480</v>
      </c>
      <c r="AP46" s="15">
        <v>61.773000000000003</v>
      </c>
      <c r="BA46" s="38">
        <v>5167</v>
      </c>
      <c r="BB46" s="38">
        <v>62.165999999999997</v>
      </c>
      <c r="BJ46" s="38">
        <v>5552</v>
      </c>
      <c r="BK46" s="38">
        <v>61.773000000000003</v>
      </c>
      <c r="BV46" s="53">
        <v>6743</v>
      </c>
      <c r="BW46" s="53">
        <v>64.522000000000006</v>
      </c>
      <c r="BY46" s="52">
        <v>6757</v>
      </c>
      <c r="BZ46" s="52">
        <v>67.971999999999994</v>
      </c>
      <c r="CB46" s="38">
        <v>7801</v>
      </c>
      <c r="CC46" s="53">
        <v>66.284999999999997</v>
      </c>
      <c r="CE46" s="38">
        <v>6753</v>
      </c>
      <c r="CF46" s="38">
        <v>62.636000000000003</v>
      </c>
      <c r="CH46" s="38">
        <v>7081</v>
      </c>
      <c r="CI46" s="38">
        <v>63.613</v>
      </c>
      <c r="CK46" s="53">
        <v>7384</v>
      </c>
      <c r="CL46" s="53">
        <v>60.307000000000002</v>
      </c>
      <c r="CN46" s="38">
        <v>4957</v>
      </c>
      <c r="CO46" s="38">
        <v>68.033000000000001</v>
      </c>
    </row>
    <row r="47" spans="4:93" x14ac:dyDescent="0.35">
      <c r="D47" s="13" t="s">
        <v>119</v>
      </c>
      <c r="E47" s="15">
        <v>5993</v>
      </c>
      <c r="F47" s="40">
        <v>61.581000000000003</v>
      </c>
      <c r="H47" s="38">
        <v>5390</v>
      </c>
      <c r="I47" s="38">
        <v>63.180999999999997</v>
      </c>
      <c r="K47" s="38">
        <v>5179</v>
      </c>
      <c r="L47" s="38">
        <v>63.564</v>
      </c>
      <c r="T47" s="53">
        <v>6431</v>
      </c>
      <c r="U47" s="53">
        <v>62.145000000000003</v>
      </c>
      <c r="W47" s="53">
        <v>5412</v>
      </c>
      <c r="X47" s="53">
        <v>64.531999999999996</v>
      </c>
      <c r="Z47" s="38">
        <v>5068</v>
      </c>
      <c r="AA47" s="53">
        <v>62.11</v>
      </c>
      <c r="AC47" s="53">
        <v>5520</v>
      </c>
      <c r="AD47" s="53">
        <v>65.481999999999999</v>
      </c>
      <c r="AF47" s="38">
        <v>5605</v>
      </c>
      <c r="AG47" s="38">
        <v>64.433000000000007</v>
      </c>
      <c r="AO47" s="38">
        <v>6681</v>
      </c>
      <c r="AP47" s="38">
        <v>66.054000000000002</v>
      </c>
      <c r="BA47" s="38">
        <v>5333</v>
      </c>
      <c r="BB47" s="38">
        <v>62.588999999999999</v>
      </c>
      <c r="BJ47" s="38">
        <v>5707</v>
      </c>
      <c r="BK47" s="38">
        <v>61.651000000000003</v>
      </c>
      <c r="BV47" s="53">
        <v>6854</v>
      </c>
      <c r="BW47" s="53">
        <v>63.45</v>
      </c>
      <c r="BY47" s="52">
        <v>6837</v>
      </c>
      <c r="BZ47" s="52">
        <v>68.722999999999999</v>
      </c>
      <c r="CB47" s="38">
        <v>8091</v>
      </c>
      <c r="CC47" s="53">
        <v>61.423000000000002</v>
      </c>
      <c r="CE47" s="38">
        <v>6828</v>
      </c>
      <c r="CF47" s="38">
        <v>63.56</v>
      </c>
      <c r="CH47" s="38">
        <v>7225</v>
      </c>
      <c r="CI47" s="38">
        <v>63.008000000000003</v>
      </c>
      <c r="CK47" s="53">
        <v>7466</v>
      </c>
      <c r="CL47" s="53">
        <v>61.491999999999997</v>
      </c>
      <c r="CN47" s="38">
        <v>5058</v>
      </c>
      <c r="CO47" s="38">
        <v>68.87</v>
      </c>
    </row>
    <row r="48" spans="4:93" x14ac:dyDescent="0.35">
      <c r="E48" s="15">
        <v>6023</v>
      </c>
      <c r="F48" s="40">
        <v>62.472000000000001</v>
      </c>
      <c r="H48" s="38">
        <v>5550</v>
      </c>
      <c r="I48" s="38">
        <v>61.497</v>
      </c>
      <c r="K48" s="38">
        <v>5296</v>
      </c>
      <c r="L48" s="38">
        <v>63.573</v>
      </c>
      <c r="S48" s="19" t="s">
        <v>119</v>
      </c>
      <c r="T48" s="39">
        <v>6617</v>
      </c>
      <c r="U48" s="39">
        <v>63.222000000000001</v>
      </c>
      <c r="W48" s="53">
        <v>5584</v>
      </c>
      <c r="X48" s="53">
        <v>63.895000000000003</v>
      </c>
      <c r="Z48" s="38">
        <v>5278</v>
      </c>
      <c r="AA48" s="53">
        <v>62.578000000000003</v>
      </c>
      <c r="AC48" s="53">
        <v>5675</v>
      </c>
      <c r="AD48" s="53">
        <v>64.811999999999998</v>
      </c>
      <c r="AF48" s="38">
        <v>5702</v>
      </c>
      <c r="AG48" s="38">
        <v>64.748000000000005</v>
      </c>
      <c r="AO48" s="38">
        <v>6770</v>
      </c>
      <c r="AP48" s="38">
        <v>65.123999999999995</v>
      </c>
      <c r="BA48" s="38">
        <v>5539</v>
      </c>
      <c r="BB48" s="38">
        <v>64.739000000000004</v>
      </c>
      <c r="BJ48" s="38">
        <v>5867</v>
      </c>
      <c r="BK48" s="38">
        <v>66.236999999999995</v>
      </c>
      <c r="BV48" s="53">
        <v>6999</v>
      </c>
      <c r="BW48" s="53">
        <v>61.423000000000002</v>
      </c>
      <c r="BY48" s="52">
        <v>6984</v>
      </c>
      <c r="BZ48" s="52">
        <v>68.37</v>
      </c>
      <c r="CB48" s="38">
        <v>8364</v>
      </c>
      <c r="CC48" s="53">
        <v>56.021000000000001</v>
      </c>
      <c r="CE48" s="38">
        <v>7044</v>
      </c>
      <c r="CF48" s="38">
        <v>64.319999999999993</v>
      </c>
      <c r="CH48" s="38">
        <v>7320</v>
      </c>
      <c r="CI48" s="38">
        <v>61.283999999999999</v>
      </c>
      <c r="CK48" s="53">
        <v>7719</v>
      </c>
      <c r="CL48" s="53">
        <v>63.72</v>
      </c>
      <c r="CN48" s="38">
        <v>5168</v>
      </c>
      <c r="CO48" s="38">
        <v>68.778000000000006</v>
      </c>
    </row>
    <row r="49" spans="4:93" x14ac:dyDescent="0.35">
      <c r="E49" s="38">
        <v>6178</v>
      </c>
      <c r="F49" s="38">
        <v>63.793999999999997</v>
      </c>
      <c r="H49" s="38">
        <v>5647</v>
      </c>
      <c r="I49" s="38">
        <v>62.682000000000002</v>
      </c>
      <c r="K49" s="38">
        <v>5397</v>
      </c>
      <c r="L49" s="38">
        <v>62.576999999999998</v>
      </c>
      <c r="T49" s="53">
        <v>6787</v>
      </c>
      <c r="U49" s="53">
        <v>65.105999999999995</v>
      </c>
      <c r="W49" s="53">
        <v>5717</v>
      </c>
      <c r="X49" s="53">
        <v>63.875</v>
      </c>
      <c r="Y49" s="19" t="s">
        <v>119</v>
      </c>
      <c r="Z49" s="9">
        <v>5385</v>
      </c>
      <c r="AA49" s="39">
        <v>63.222000000000001</v>
      </c>
      <c r="AC49" s="53">
        <v>5732</v>
      </c>
      <c r="AD49" s="53">
        <v>63.683999999999997</v>
      </c>
      <c r="AF49" s="38">
        <v>5832</v>
      </c>
      <c r="AG49" s="38">
        <v>63.432000000000002</v>
      </c>
      <c r="AN49" s="13" t="s">
        <v>234</v>
      </c>
      <c r="AO49" s="40">
        <v>6966</v>
      </c>
      <c r="AP49" s="40">
        <v>65.55</v>
      </c>
      <c r="BA49" s="38">
        <v>5735</v>
      </c>
      <c r="BB49" s="38">
        <v>64.003</v>
      </c>
      <c r="BI49" s="19" t="s">
        <v>234</v>
      </c>
      <c r="BJ49" s="39">
        <v>6062</v>
      </c>
      <c r="BK49" s="39">
        <v>65.748000000000005</v>
      </c>
      <c r="BV49" s="53">
        <v>7148</v>
      </c>
      <c r="BW49" s="53">
        <v>59.341999999999999</v>
      </c>
      <c r="BY49" s="52">
        <v>7147</v>
      </c>
      <c r="BZ49" s="52">
        <v>66.784000000000006</v>
      </c>
      <c r="CB49" s="38">
        <v>8494</v>
      </c>
      <c r="CC49" s="53">
        <v>57.253999999999998</v>
      </c>
      <c r="CE49" s="38">
        <v>7150</v>
      </c>
      <c r="CF49" s="38">
        <v>63.904000000000003</v>
      </c>
      <c r="CG49" s="19" t="s">
        <v>64</v>
      </c>
      <c r="CH49" s="9">
        <v>7358</v>
      </c>
      <c r="CI49" s="9">
        <v>60.756</v>
      </c>
      <c r="CK49" s="53">
        <v>7841</v>
      </c>
      <c r="CL49" s="53">
        <v>65.218000000000004</v>
      </c>
      <c r="CN49" s="38">
        <v>5266</v>
      </c>
      <c r="CO49" s="38">
        <v>67.894999999999996</v>
      </c>
    </row>
    <row r="50" spans="4:93" x14ac:dyDescent="0.35">
      <c r="E50" s="38">
        <v>6346</v>
      </c>
      <c r="F50" s="38">
        <v>62.502000000000002</v>
      </c>
      <c r="G50" s="19" t="s">
        <v>119</v>
      </c>
      <c r="H50" s="39">
        <v>5759</v>
      </c>
      <c r="I50" s="39">
        <v>61.804000000000002</v>
      </c>
      <c r="K50" s="38">
        <v>5510</v>
      </c>
      <c r="L50" s="38">
        <v>60.247</v>
      </c>
      <c r="T50" s="53">
        <v>6971</v>
      </c>
      <c r="U50" s="53">
        <v>64.787999999999997</v>
      </c>
      <c r="V50" s="13" t="s">
        <v>119</v>
      </c>
      <c r="W50" s="40">
        <v>5832</v>
      </c>
      <c r="X50" s="40">
        <v>61.773000000000003</v>
      </c>
      <c r="Z50" s="38">
        <v>5481</v>
      </c>
      <c r="AA50" s="53">
        <v>65.903000000000006</v>
      </c>
      <c r="AC50" s="53">
        <v>5907</v>
      </c>
      <c r="AD50" s="53">
        <v>63.116999999999997</v>
      </c>
      <c r="AF50" s="38">
        <v>5937</v>
      </c>
      <c r="AG50" s="38">
        <v>63.3</v>
      </c>
      <c r="AZ50" s="13" t="s">
        <v>119</v>
      </c>
      <c r="BA50" s="15">
        <v>6168</v>
      </c>
      <c r="BB50" s="15">
        <v>61.773000000000003</v>
      </c>
      <c r="BV50" s="53">
        <v>7304</v>
      </c>
      <c r="BW50" s="53">
        <v>54.124000000000002</v>
      </c>
      <c r="BY50" s="52">
        <v>7300</v>
      </c>
      <c r="BZ50" s="52">
        <v>66.744</v>
      </c>
      <c r="CB50" s="38">
        <v>8693</v>
      </c>
      <c r="CC50" s="53">
        <v>57.244</v>
      </c>
      <c r="CE50" s="38">
        <v>7250</v>
      </c>
      <c r="CF50" s="38">
        <v>66.597999999999999</v>
      </c>
      <c r="CH50" s="38">
        <v>7450</v>
      </c>
      <c r="CI50" s="38">
        <v>62.341999999999999</v>
      </c>
      <c r="CK50" s="53">
        <v>7943</v>
      </c>
      <c r="CL50" s="53">
        <v>65.754999999999995</v>
      </c>
      <c r="CN50" s="38">
        <v>5425</v>
      </c>
      <c r="CO50" s="38">
        <v>65.823999999999998</v>
      </c>
    </row>
    <row r="51" spans="4:93" x14ac:dyDescent="0.35">
      <c r="E51" s="38">
        <v>6459</v>
      </c>
      <c r="F51" s="38">
        <v>61.298999999999999</v>
      </c>
      <c r="H51" s="38">
        <v>6177</v>
      </c>
      <c r="I51" s="38">
        <v>65.123999999999995</v>
      </c>
      <c r="K51" s="38">
        <v>5688</v>
      </c>
      <c r="L51" s="38">
        <v>60.738</v>
      </c>
      <c r="T51" s="53">
        <v>7255</v>
      </c>
      <c r="U51" s="53">
        <v>61.883000000000003</v>
      </c>
      <c r="W51" s="40">
        <v>5880</v>
      </c>
      <c r="X51" s="40">
        <v>62.744999999999997</v>
      </c>
      <c r="Z51" s="38">
        <v>5674</v>
      </c>
      <c r="AA51" s="53">
        <v>64.783000000000001</v>
      </c>
      <c r="AB51" s="13" t="s">
        <v>119</v>
      </c>
      <c r="AC51" s="40">
        <v>6126</v>
      </c>
      <c r="AD51" s="40">
        <v>61.773000000000003</v>
      </c>
      <c r="AF51" s="38">
        <v>6039</v>
      </c>
      <c r="AG51" s="38">
        <v>63.585999999999999</v>
      </c>
      <c r="BA51" s="38">
        <v>6223</v>
      </c>
      <c r="BB51" s="38">
        <v>61.811</v>
      </c>
      <c r="BU51" s="19" t="s">
        <v>265</v>
      </c>
      <c r="BV51" s="9">
        <v>7453</v>
      </c>
      <c r="BW51" s="9">
        <v>57.253999999999998</v>
      </c>
      <c r="BY51" s="52">
        <v>7420</v>
      </c>
      <c r="BZ51" s="52">
        <v>66.742999999999995</v>
      </c>
      <c r="CB51" s="38">
        <v>8808</v>
      </c>
      <c r="CC51" s="53">
        <v>60.307000000000002</v>
      </c>
      <c r="CE51" s="38">
        <v>7342</v>
      </c>
      <c r="CF51" s="38">
        <v>65.733000000000004</v>
      </c>
      <c r="CH51" s="38">
        <v>7602</v>
      </c>
      <c r="CI51" s="38">
        <v>63.56</v>
      </c>
      <c r="CK51" s="53">
        <v>8140</v>
      </c>
      <c r="CL51" s="53">
        <v>68.658000000000001</v>
      </c>
      <c r="CN51" s="38">
        <v>5537</v>
      </c>
      <c r="CO51" s="38">
        <v>67.691999999999993</v>
      </c>
    </row>
    <row r="52" spans="4:93" x14ac:dyDescent="0.35">
      <c r="D52" s="13" t="s">
        <v>119</v>
      </c>
      <c r="E52" s="15">
        <v>6569</v>
      </c>
      <c r="F52" s="40">
        <v>61.75</v>
      </c>
      <c r="H52" s="38">
        <v>6283</v>
      </c>
      <c r="I52" s="38">
        <v>66.807000000000002</v>
      </c>
      <c r="J52" s="13" t="s">
        <v>64</v>
      </c>
      <c r="K52" s="40">
        <v>5787</v>
      </c>
      <c r="L52" s="40">
        <v>62.118000000000002</v>
      </c>
      <c r="T52" s="53">
        <v>7540</v>
      </c>
      <c r="U52" s="53">
        <v>64.230999999999995</v>
      </c>
      <c r="V52" s="13" t="s">
        <v>234</v>
      </c>
      <c r="W52" s="40">
        <v>6343</v>
      </c>
      <c r="X52" s="40">
        <v>65.748000000000005</v>
      </c>
      <c r="Z52" s="38">
        <v>5830</v>
      </c>
      <c r="AA52" s="53">
        <v>63.585999999999999</v>
      </c>
      <c r="AC52" s="40">
        <v>6172</v>
      </c>
      <c r="AD52" s="40">
        <v>62.744999999999997</v>
      </c>
      <c r="AF52" s="38">
        <v>6137</v>
      </c>
      <c r="AG52" s="38">
        <v>64.212999999999994</v>
      </c>
      <c r="BA52" s="38">
        <v>6563</v>
      </c>
      <c r="BB52" s="38">
        <v>66.494</v>
      </c>
      <c r="BV52" s="53">
        <v>7599</v>
      </c>
      <c r="BW52" s="53">
        <v>57.244</v>
      </c>
      <c r="BY52" s="52">
        <v>7655</v>
      </c>
      <c r="BZ52" s="52">
        <v>66.423000000000002</v>
      </c>
      <c r="CB52" s="38">
        <v>8890</v>
      </c>
      <c r="CC52" s="53">
        <v>61.491999999999997</v>
      </c>
      <c r="CE52" s="38">
        <v>7495</v>
      </c>
      <c r="CF52" s="38">
        <v>66.031999999999996</v>
      </c>
      <c r="CH52" s="38">
        <v>7925</v>
      </c>
      <c r="CI52" s="38">
        <v>63.904000000000003</v>
      </c>
      <c r="CK52" s="53">
        <v>8342</v>
      </c>
      <c r="CL52" s="53">
        <v>68.722999999999999</v>
      </c>
      <c r="CN52" s="38">
        <v>5627</v>
      </c>
      <c r="CO52" s="38">
        <v>66.638000000000005</v>
      </c>
    </row>
    <row r="53" spans="4:93" x14ac:dyDescent="0.35">
      <c r="E53" s="15">
        <v>6620</v>
      </c>
      <c r="F53" s="40">
        <v>61.034999999999997</v>
      </c>
      <c r="G53" s="19" t="s">
        <v>234</v>
      </c>
      <c r="H53" s="39">
        <v>6375</v>
      </c>
      <c r="I53" s="39">
        <v>65.55</v>
      </c>
      <c r="K53" s="40">
        <v>2932</v>
      </c>
      <c r="L53" s="40">
        <v>63.209000000000003</v>
      </c>
      <c r="T53" s="53">
        <v>7756</v>
      </c>
      <c r="U53" s="53">
        <v>64.003</v>
      </c>
      <c r="Z53" s="38">
        <v>6014</v>
      </c>
      <c r="AA53" s="53">
        <v>61.883000000000003</v>
      </c>
      <c r="AC53" s="53">
        <v>6357</v>
      </c>
      <c r="AD53" s="53">
        <v>66.054000000000002</v>
      </c>
      <c r="AF53" s="38">
        <v>6247</v>
      </c>
      <c r="AG53" s="38">
        <v>64.558999999999997</v>
      </c>
      <c r="AZ53" s="13" t="s">
        <v>234</v>
      </c>
      <c r="BA53" s="15">
        <v>6644</v>
      </c>
      <c r="BB53" s="15">
        <v>65.55</v>
      </c>
      <c r="BV53" s="53">
        <v>7690</v>
      </c>
      <c r="BW53" s="53">
        <v>58.74</v>
      </c>
      <c r="BY53" s="52">
        <v>7815</v>
      </c>
      <c r="BZ53" s="52">
        <v>65.399000000000001</v>
      </c>
      <c r="CB53" s="38">
        <v>9143</v>
      </c>
      <c r="CC53" s="53">
        <v>63.72</v>
      </c>
      <c r="CE53" s="38">
        <v>7624</v>
      </c>
      <c r="CF53" s="38">
        <v>66.284999999999997</v>
      </c>
      <c r="CH53" s="38">
        <v>8026</v>
      </c>
      <c r="CI53" s="38">
        <v>66.597999999999999</v>
      </c>
      <c r="CK53" s="53">
        <v>8487</v>
      </c>
      <c r="CL53" s="53">
        <v>68.37</v>
      </c>
      <c r="CN53" s="38">
        <v>5715</v>
      </c>
      <c r="CO53" s="38">
        <v>65.843000000000004</v>
      </c>
    </row>
    <row r="54" spans="4:93" x14ac:dyDescent="0.35">
      <c r="E54" s="38">
        <v>6836</v>
      </c>
      <c r="F54" s="38">
        <v>63.819000000000003</v>
      </c>
      <c r="K54" s="38">
        <v>6070</v>
      </c>
      <c r="L54" s="38">
        <v>63.530999999999999</v>
      </c>
      <c r="T54" s="53">
        <v>8047</v>
      </c>
      <c r="U54" s="53">
        <v>62.634</v>
      </c>
      <c r="Z54" s="38">
        <v>6210</v>
      </c>
      <c r="AA54" s="53">
        <v>63.006999999999998</v>
      </c>
      <c r="AB54" s="13" t="s">
        <v>234</v>
      </c>
      <c r="AC54" s="40">
        <v>6635</v>
      </c>
      <c r="AD54" s="40">
        <v>65.748000000000005</v>
      </c>
      <c r="AF54" s="38">
        <v>6345</v>
      </c>
      <c r="AG54" s="38">
        <v>63.875</v>
      </c>
      <c r="BV54" s="53">
        <v>7778</v>
      </c>
      <c r="BW54" s="53">
        <v>60.014000000000003</v>
      </c>
      <c r="BY54" s="52">
        <v>8000</v>
      </c>
      <c r="BZ54" s="52">
        <v>65.201999999999998</v>
      </c>
      <c r="CB54" s="38">
        <v>9265</v>
      </c>
      <c r="CC54" s="53">
        <v>65.218000000000004</v>
      </c>
      <c r="CE54" s="38">
        <v>8047</v>
      </c>
      <c r="CF54" s="38">
        <v>64.564999999999998</v>
      </c>
      <c r="CH54" s="38">
        <v>8119</v>
      </c>
      <c r="CI54" s="38">
        <v>65.733000000000004</v>
      </c>
      <c r="CK54" s="53">
        <v>8722</v>
      </c>
      <c r="CL54" s="53">
        <v>66.759</v>
      </c>
      <c r="CN54" s="38">
        <v>5862</v>
      </c>
      <c r="CO54" s="38">
        <v>65.826999999999998</v>
      </c>
    </row>
    <row r="55" spans="4:93" x14ac:dyDescent="0.35">
      <c r="E55" s="38">
        <v>6928</v>
      </c>
      <c r="F55" s="38">
        <v>65.138000000000005</v>
      </c>
      <c r="K55" s="38">
        <v>6167</v>
      </c>
      <c r="L55" s="38">
        <v>62.838999999999999</v>
      </c>
      <c r="S55" s="19" t="s">
        <v>119</v>
      </c>
      <c r="T55" s="9">
        <v>8179</v>
      </c>
      <c r="U55" s="9">
        <v>61.773000000000003</v>
      </c>
      <c r="Z55" s="38">
        <v>6388</v>
      </c>
      <c r="AA55" s="53">
        <v>65.819999999999993</v>
      </c>
      <c r="AC55" s="67"/>
      <c r="AD55" s="67"/>
      <c r="AE55" s="19" t="s">
        <v>119</v>
      </c>
      <c r="AF55" s="9">
        <v>6424</v>
      </c>
      <c r="AG55" s="9">
        <v>63.991999999999997</v>
      </c>
      <c r="BV55" s="53">
        <v>7903</v>
      </c>
      <c r="BW55" s="53">
        <v>61.703000000000003</v>
      </c>
      <c r="BX55" s="13" t="s">
        <v>234</v>
      </c>
      <c r="BY55" s="27">
        <v>8190</v>
      </c>
      <c r="BZ55" s="27">
        <v>65.55</v>
      </c>
      <c r="CB55" s="38">
        <v>9367</v>
      </c>
      <c r="CC55" s="53">
        <v>65.754999999999995</v>
      </c>
      <c r="CE55" s="38">
        <v>8186</v>
      </c>
      <c r="CF55" s="38">
        <v>56.021000000000001</v>
      </c>
      <c r="CH55" s="38">
        <v>8272</v>
      </c>
      <c r="CI55" s="38">
        <v>66.031999999999996</v>
      </c>
      <c r="CK55" s="53">
        <v>8888</v>
      </c>
      <c r="CL55" s="53">
        <v>66.433000000000007</v>
      </c>
      <c r="CN55" s="38">
        <v>5999</v>
      </c>
      <c r="CO55" s="38">
        <v>64.113</v>
      </c>
    </row>
    <row r="56" spans="4:93" x14ac:dyDescent="0.35">
      <c r="E56" s="38">
        <v>7059</v>
      </c>
      <c r="F56" s="38">
        <v>65.123999999999995</v>
      </c>
      <c r="K56" s="38">
        <v>6271</v>
      </c>
      <c r="L56" s="38">
        <v>60.994</v>
      </c>
      <c r="T56" s="53">
        <v>8564</v>
      </c>
      <c r="U56" s="53">
        <v>65.266000000000005</v>
      </c>
      <c r="Z56" s="38">
        <v>6520</v>
      </c>
      <c r="AA56" s="53">
        <v>63.890999999999998</v>
      </c>
      <c r="AC56" s="67"/>
      <c r="AD56" s="67"/>
      <c r="AF56" s="38">
        <v>6558</v>
      </c>
      <c r="AG56" s="38">
        <v>64.200999999999993</v>
      </c>
      <c r="BV56" s="53">
        <v>8055</v>
      </c>
      <c r="BW56" s="53">
        <v>63.552</v>
      </c>
      <c r="CB56" s="38">
        <v>9564</v>
      </c>
      <c r="CC56" s="53">
        <v>68.658000000000001</v>
      </c>
      <c r="CE56" s="38">
        <v>8316</v>
      </c>
      <c r="CF56" s="38">
        <v>57.253999999999998</v>
      </c>
      <c r="CH56" s="38">
        <v>8399</v>
      </c>
      <c r="CI56" s="38">
        <v>66.284999999999997</v>
      </c>
      <c r="CK56" s="53">
        <v>9200</v>
      </c>
      <c r="CL56" s="53">
        <v>66.384</v>
      </c>
      <c r="CN56" s="38">
        <v>6080</v>
      </c>
      <c r="CO56" s="38">
        <v>65.358999999999995</v>
      </c>
    </row>
    <row r="57" spans="4:93" x14ac:dyDescent="0.35">
      <c r="D57" s="13" t="s">
        <v>234</v>
      </c>
      <c r="E57" s="15">
        <v>7259</v>
      </c>
      <c r="F57" s="40">
        <v>65.748000000000005</v>
      </c>
      <c r="J57" s="13" t="s">
        <v>119</v>
      </c>
      <c r="K57" s="40">
        <v>6393</v>
      </c>
      <c r="L57" s="40">
        <v>62.399000000000001</v>
      </c>
      <c r="S57" s="19" t="s">
        <v>234</v>
      </c>
      <c r="T57" s="9">
        <v>8673</v>
      </c>
      <c r="U57" s="9">
        <v>65.55</v>
      </c>
      <c r="Z57" s="38">
        <v>6752</v>
      </c>
      <c r="AA57" s="53">
        <v>62.904000000000003</v>
      </c>
      <c r="AC57" s="67"/>
      <c r="AD57" s="67"/>
      <c r="AF57" s="38">
        <v>6668</v>
      </c>
      <c r="AG57" s="38">
        <v>64.299000000000007</v>
      </c>
      <c r="BV57" s="53">
        <v>8183</v>
      </c>
      <c r="BW57" s="53">
        <v>65.218000000000004</v>
      </c>
      <c r="CB57" s="38">
        <v>9766</v>
      </c>
      <c r="CC57" s="53">
        <v>68.722999999999999</v>
      </c>
      <c r="CD57" s="13" t="s">
        <v>265</v>
      </c>
      <c r="CE57" s="15">
        <v>8386</v>
      </c>
      <c r="CF57" s="15">
        <v>56.064</v>
      </c>
      <c r="CH57" s="38">
        <v>8542</v>
      </c>
      <c r="CI57" s="38">
        <v>63.45</v>
      </c>
      <c r="CK57" s="53">
        <v>9512</v>
      </c>
      <c r="CL57" s="53">
        <v>65.201999999999998</v>
      </c>
      <c r="CN57" s="38">
        <v>6255</v>
      </c>
      <c r="CO57" s="38">
        <v>64.388000000000005</v>
      </c>
    </row>
    <row r="58" spans="4:93" x14ac:dyDescent="0.35">
      <c r="K58" s="40">
        <v>6440</v>
      </c>
      <c r="L58" s="40">
        <v>61.034999999999997</v>
      </c>
      <c r="Y58" s="19" t="s">
        <v>119</v>
      </c>
      <c r="Z58" s="9">
        <v>6936</v>
      </c>
      <c r="AA58" s="39">
        <v>61.773000000000003</v>
      </c>
      <c r="AF58" s="38">
        <v>6793</v>
      </c>
      <c r="AG58" s="38">
        <v>63.832999999999998</v>
      </c>
      <c r="BV58" s="53">
        <v>8302</v>
      </c>
      <c r="BW58" s="53">
        <v>65.021000000000001</v>
      </c>
      <c r="CB58" s="38">
        <v>9911</v>
      </c>
      <c r="CC58" s="53">
        <v>68.37</v>
      </c>
      <c r="CE58" s="38">
        <v>8510</v>
      </c>
      <c r="CF58" s="38">
        <v>57.244</v>
      </c>
      <c r="CH58" s="38">
        <v>8689</v>
      </c>
      <c r="CI58" s="38">
        <v>61.423000000000002</v>
      </c>
      <c r="CJ58" s="13" t="s">
        <v>234</v>
      </c>
      <c r="CK58" s="15">
        <v>9705</v>
      </c>
      <c r="CL58" s="15">
        <v>65.55</v>
      </c>
      <c r="CN58" s="38">
        <v>6455</v>
      </c>
      <c r="CO58" s="38">
        <v>62.646999999999998</v>
      </c>
    </row>
    <row r="59" spans="4:93" x14ac:dyDescent="0.35">
      <c r="K59" s="38">
        <v>6673</v>
      </c>
      <c r="L59" s="38">
        <v>62.308999999999997</v>
      </c>
      <c r="Z59" s="38">
        <v>6991</v>
      </c>
      <c r="AA59" s="39">
        <v>62.744999999999997</v>
      </c>
      <c r="AF59" s="38">
        <v>6890</v>
      </c>
      <c r="AG59" s="38">
        <v>63.759</v>
      </c>
      <c r="BV59" s="53">
        <v>8381</v>
      </c>
      <c r="BW59" s="53">
        <v>66.697999999999993</v>
      </c>
      <c r="CB59" s="38">
        <v>10146</v>
      </c>
      <c r="CC59" s="53">
        <v>66.759</v>
      </c>
      <c r="CE59" s="38">
        <v>8631</v>
      </c>
      <c r="CF59" s="38">
        <v>60.307000000000002</v>
      </c>
      <c r="CH59" s="38">
        <v>8822</v>
      </c>
      <c r="CI59" s="38">
        <v>64.564999999999998</v>
      </c>
      <c r="CN59" s="38">
        <v>6662</v>
      </c>
      <c r="CO59" s="38">
        <v>63.735999999999997</v>
      </c>
    </row>
    <row r="60" spans="4:93" x14ac:dyDescent="0.35">
      <c r="K60" s="38">
        <v>6812</v>
      </c>
      <c r="L60" s="38">
        <v>65.864000000000004</v>
      </c>
      <c r="Z60" s="38">
        <v>7335</v>
      </c>
      <c r="AA60" s="53">
        <v>65.266000000000005</v>
      </c>
      <c r="AF60" s="38">
        <v>7043</v>
      </c>
      <c r="AG60" s="38">
        <v>63.652000000000001</v>
      </c>
      <c r="BV60" s="53">
        <v>8625</v>
      </c>
      <c r="BW60" s="53">
        <v>68.813000000000002</v>
      </c>
      <c r="CB60" s="38">
        <v>10312</v>
      </c>
      <c r="CC60" s="53">
        <v>66.433000000000007</v>
      </c>
      <c r="CE60" s="38">
        <v>8886</v>
      </c>
      <c r="CF60" s="38">
        <v>63.765999999999998</v>
      </c>
      <c r="CH60" s="38">
        <v>8961</v>
      </c>
      <c r="CI60" s="38">
        <v>56.021000000000001</v>
      </c>
      <c r="CN60" s="38">
        <v>6762</v>
      </c>
      <c r="CO60" s="38">
        <v>62.143000000000001</v>
      </c>
    </row>
    <row r="61" spans="4:93" x14ac:dyDescent="0.35">
      <c r="K61" s="38">
        <v>6985</v>
      </c>
      <c r="L61" s="38">
        <v>66.494</v>
      </c>
      <c r="Y61" s="19" t="s">
        <v>234</v>
      </c>
      <c r="Z61" s="9">
        <v>7441</v>
      </c>
      <c r="AA61" s="39">
        <v>65.55</v>
      </c>
      <c r="AF61" s="38">
        <v>7142</v>
      </c>
      <c r="AG61" s="38">
        <v>63.756999999999998</v>
      </c>
      <c r="BV61" s="53">
        <v>8953</v>
      </c>
      <c r="BW61" s="53">
        <v>66.942999999999998</v>
      </c>
      <c r="CB61" s="38">
        <v>10624</v>
      </c>
      <c r="CC61" s="53">
        <v>66.384</v>
      </c>
      <c r="CE61" s="38">
        <v>8966</v>
      </c>
      <c r="CF61" s="38">
        <v>63.552</v>
      </c>
      <c r="CH61" s="38">
        <v>9090</v>
      </c>
      <c r="CI61" s="38">
        <v>57.253999999999998</v>
      </c>
      <c r="CN61" s="38">
        <v>6850</v>
      </c>
      <c r="CO61" s="38">
        <v>62.603999999999999</v>
      </c>
    </row>
    <row r="62" spans="4:93" x14ac:dyDescent="0.35">
      <c r="J62" s="13" t="s">
        <v>234</v>
      </c>
      <c r="K62" s="40">
        <v>7063</v>
      </c>
      <c r="L62" s="40">
        <v>65.748000000000005</v>
      </c>
      <c r="AF62" s="38">
        <v>7295</v>
      </c>
      <c r="AG62" s="38">
        <v>64.447999999999993</v>
      </c>
      <c r="BV62" s="53">
        <v>9110</v>
      </c>
      <c r="BW62" s="53">
        <v>67.108999999999995</v>
      </c>
      <c r="CB62" s="38">
        <v>10936</v>
      </c>
      <c r="CC62" s="53">
        <v>65.201999999999998</v>
      </c>
      <c r="CE62" s="38">
        <v>9213</v>
      </c>
      <c r="CF62" s="38">
        <v>65.021000000000001</v>
      </c>
      <c r="CG62" s="19" t="s">
        <v>265</v>
      </c>
      <c r="CH62" s="9">
        <v>9161</v>
      </c>
      <c r="CI62" s="9">
        <v>56.064</v>
      </c>
      <c r="CN62" s="38">
        <v>6954</v>
      </c>
      <c r="CO62" s="38">
        <v>61.829000000000001</v>
      </c>
    </row>
    <row r="63" spans="4:93" x14ac:dyDescent="0.35">
      <c r="J63" s="64"/>
      <c r="K63" s="64"/>
      <c r="L63" s="64"/>
      <c r="AF63" s="38">
        <v>7421</v>
      </c>
      <c r="AG63" s="38">
        <v>64.295000000000002</v>
      </c>
      <c r="BV63" s="53">
        <v>9258</v>
      </c>
      <c r="BW63" s="53">
        <v>66.742999999999995</v>
      </c>
      <c r="CA63" s="19" t="s">
        <v>234</v>
      </c>
      <c r="CB63" s="39">
        <v>11129</v>
      </c>
      <c r="CC63" s="9">
        <v>65.55</v>
      </c>
      <c r="CE63" s="38">
        <v>9509</v>
      </c>
      <c r="CF63" s="38">
        <v>67.971999999999994</v>
      </c>
      <c r="CH63" s="38">
        <v>9186</v>
      </c>
      <c r="CI63" s="38">
        <v>57.244</v>
      </c>
      <c r="CN63" s="38">
        <v>7052</v>
      </c>
      <c r="CO63" s="38">
        <v>60.482999999999997</v>
      </c>
    </row>
    <row r="64" spans="4:93" x14ac:dyDescent="0.35">
      <c r="AF64" s="38">
        <v>7516</v>
      </c>
      <c r="AG64" s="38">
        <v>63.764000000000003</v>
      </c>
      <c r="BV64" s="53">
        <v>9471</v>
      </c>
      <c r="BW64" s="53">
        <v>66.542000000000002</v>
      </c>
      <c r="CB64" s="64"/>
      <c r="CE64" s="38">
        <v>9766</v>
      </c>
      <c r="CF64" s="38">
        <v>67.983000000000004</v>
      </c>
      <c r="CH64" s="38">
        <v>9409</v>
      </c>
      <c r="CI64" s="38">
        <v>60.307000000000002</v>
      </c>
      <c r="CN64" s="38">
        <v>7200</v>
      </c>
      <c r="CO64" s="38">
        <v>61.439</v>
      </c>
    </row>
    <row r="65" spans="31:93" x14ac:dyDescent="0.35">
      <c r="AF65" s="38">
        <v>7616</v>
      </c>
      <c r="AG65" s="38">
        <v>63.194000000000003</v>
      </c>
      <c r="BV65" s="53">
        <v>9663</v>
      </c>
      <c r="BW65" s="53">
        <v>65.399000000000001</v>
      </c>
      <c r="CB65" s="64"/>
      <c r="CE65" s="38">
        <v>9971</v>
      </c>
      <c r="CF65" s="38">
        <v>66.759</v>
      </c>
      <c r="CH65" s="38">
        <v>9489</v>
      </c>
      <c r="CI65" s="38">
        <v>61.491999999999997</v>
      </c>
      <c r="CN65" s="38">
        <v>7437</v>
      </c>
      <c r="CO65" s="38">
        <v>64.182000000000002</v>
      </c>
    </row>
    <row r="66" spans="31:93" x14ac:dyDescent="0.35">
      <c r="AF66" s="38">
        <v>7726</v>
      </c>
      <c r="AG66" s="38">
        <v>63.258000000000003</v>
      </c>
      <c r="BV66" s="53">
        <v>9854</v>
      </c>
      <c r="BW66" s="53">
        <v>65.201999999999998</v>
      </c>
      <c r="CB66" s="64"/>
      <c r="CE66" s="38">
        <v>10232</v>
      </c>
      <c r="CF66" s="38">
        <v>66.572999999999993</v>
      </c>
      <c r="CH66" s="38">
        <v>9596</v>
      </c>
      <c r="CI66" s="38">
        <v>61.703000000000003</v>
      </c>
      <c r="CN66" s="38">
        <v>7622</v>
      </c>
      <c r="CO66" s="38">
        <v>62.387</v>
      </c>
    </row>
    <row r="67" spans="31:93" x14ac:dyDescent="0.35">
      <c r="AE67" s="19" t="s">
        <v>119</v>
      </c>
      <c r="AF67" s="9">
        <v>7812</v>
      </c>
      <c r="AG67" s="9">
        <v>61.773000000000003</v>
      </c>
      <c r="BV67" s="53">
        <v>9960</v>
      </c>
      <c r="BW67" s="53">
        <v>66.807000000000002</v>
      </c>
      <c r="CB67" s="64"/>
      <c r="CE67" s="38">
        <v>10.561999999999999</v>
      </c>
      <c r="CF67" s="38">
        <v>65.399000000000001</v>
      </c>
      <c r="CH67" s="38">
        <v>9754</v>
      </c>
      <c r="CI67" s="38">
        <v>63.72</v>
      </c>
      <c r="CN67" s="38">
        <v>7788</v>
      </c>
      <c r="CO67" s="38">
        <v>61.591999999999999</v>
      </c>
    </row>
    <row r="68" spans="31:93" x14ac:dyDescent="0.35">
      <c r="AF68" s="38">
        <v>7966</v>
      </c>
      <c r="AG68" s="38">
        <v>61.651000000000003</v>
      </c>
      <c r="BU68" s="19" t="s">
        <v>234</v>
      </c>
      <c r="BV68" s="9">
        <v>10056</v>
      </c>
      <c r="BW68" s="9">
        <v>65.55</v>
      </c>
      <c r="CB68" s="64"/>
      <c r="CE68" s="38">
        <v>10.75</v>
      </c>
      <c r="CF68" s="38">
        <v>65.201999999999998</v>
      </c>
      <c r="CH68" s="38">
        <v>9874</v>
      </c>
      <c r="CI68" s="38">
        <v>65.218000000000004</v>
      </c>
      <c r="CN68" s="38">
        <v>7931</v>
      </c>
      <c r="CO68" s="38">
        <v>62.442</v>
      </c>
    </row>
    <row r="69" spans="31:93" x14ac:dyDescent="0.35">
      <c r="AF69" s="38">
        <v>8230</v>
      </c>
      <c r="AG69" s="38">
        <v>65.266000000000005</v>
      </c>
      <c r="BV69" s="64"/>
      <c r="CB69" s="64"/>
      <c r="CD69" s="13" t="s">
        <v>234</v>
      </c>
      <c r="CE69" s="15">
        <v>10.944000000000001</v>
      </c>
      <c r="CF69" s="15">
        <v>65.55</v>
      </c>
      <c r="CH69" s="38">
        <v>10071</v>
      </c>
      <c r="CI69" s="38">
        <v>66.697999999999993</v>
      </c>
      <c r="CN69" s="38">
        <v>8105</v>
      </c>
      <c r="CO69" s="38">
        <v>63.886000000000003</v>
      </c>
    </row>
    <row r="70" spans="31:93" x14ac:dyDescent="0.35">
      <c r="AE70" s="19" t="s">
        <v>234</v>
      </c>
      <c r="AF70" s="9">
        <v>8331</v>
      </c>
      <c r="AG70" s="9">
        <v>65.748000000000005</v>
      </c>
      <c r="BV70" s="64"/>
      <c r="CB70" s="64"/>
      <c r="CH70" s="38">
        <v>10287</v>
      </c>
      <c r="CI70" s="38">
        <v>67.971999999999994</v>
      </c>
      <c r="CN70" s="38">
        <v>8197</v>
      </c>
      <c r="CO70" s="38">
        <v>62.750999999999998</v>
      </c>
    </row>
    <row r="71" spans="31:93" x14ac:dyDescent="0.35">
      <c r="BV71" s="64"/>
      <c r="CB71" s="64"/>
      <c r="CH71" s="38">
        <v>10407</v>
      </c>
      <c r="CI71" s="38">
        <v>68.619</v>
      </c>
      <c r="CM71" s="19" t="s">
        <v>234</v>
      </c>
      <c r="CN71" s="9">
        <v>8681</v>
      </c>
      <c r="CO71" s="9">
        <v>65.748000000000005</v>
      </c>
    </row>
    <row r="72" spans="31:93" x14ac:dyDescent="0.35">
      <c r="BS72" s="64"/>
      <c r="CB72" s="64"/>
      <c r="CH72" s="38">
        <v>10545</v>
      </c>
      <c r="CI72" s="38">
        <v>67.983000000000004</v>
      </c>
    </row>
    <row r="73" spans="31:93" x14ac:dyDescent="0.35">
      <c r="BS73" s="64"/>
      <c r="CB73" s="64"/>
      <c r="CH73" s="38">
        <v>10674</v>
      </c>
      <c r="CI73" s="38">
        <v>66.784000000000006</v>
      </c>
    </row>
    <row r="74" spans="31:93" x14ac:dyDescent="0.35">
      <c r="BS74" s="64"/>
      <c r="CB74" s="64"/>
      <c r="CH74" s="38">
        <v>10803</v>
      </c>
      <c r="CI74" s="38">
        <v>67.108999999999995</v>
      </c>
    </row>
    <row r="75" spans="31:93" x14ac:dyDescent="0.35">
      <c r="BS75" s="64"/>
      <c r="CB75" s="64"/>
      <c r="CH75" s="38">
        <v>10916</v>
      </c>
      <c r="CI75" s="38">
        <v>66.433000000000007</v>
      </c>
    </row>
    <row r="76" spans="31:93" x14ac:dyDescent="0.35">
      <c r="BS76" s="64"/>
      <c r="CB76" s="64"/>
      <c r="CH76" s="38">
        <v>11099</v>
      </c>
      <c r="CI76" s="38">
        <v>66.474000000000004</v>
      </c>
    </row>
    <row r="77" spans="31:93" x14ac:dyDescent="0.35">
      <c r="BS77" s="64"/>
      <c r="CB77" s="64"/>
      <c r="CH77" s="38">
        <v>11213</v>
      </c>
      <c r="CI77" s="38">
        <v>66.384</v>
      </c>
    </row>
    <row r="78" spans="31:93" x14ac:dyDescent="0.35">
      <c r="BS78" s="64"/>
      <c r="CB78" s="64"/>
      <c r="CH78" s="38">
        <v>11529</v>
      </c>
      <c r="CI78" s="38">
        <v>65.201999999999998</v>
      </c>
    </row>
    <row r="79" spans="31:93" x14ac:dyDescent="0.35">
      <c r="BS79" s="64"/>
      <c r="CB79" s="64"/>
      <c r="CH79" s="38">
        <v>11633</v>
      </c>
      <c r="CI79" s="38">
        <v>66.807000000000002</v>
      </c>
    </row>
    <row r="80" spans="31:93" x14ac:dyDescent="0.35">
      <c r="CG80" s="19" t="s">
        <v>234</v>
      </c>
      <c r="CH80" s="9">
        <v>11725</v>
      </c>
      <c r="CI80" s="9">
        <v>65.55</v>
      </c>
    </row>
  </sheetData>
  <mergeCells count="31">
    <mergeCell ref="AI1:AJ1"/>
    <mergeCell ref="B1:C1"/>
    <mergeCell ref="E1:F1"/>
    <mergeCell ref="H1:I1"/>
    <mergeCell ref="K1:L1"/>
    <mergeCell ref="N1:O1"/>
    <mergeCell ref="Q1:R1"/>
    <mergeCell ref="T1:U1"/>
    <mergeCell ref="W1:X1"/>
    <mergeCell ref="Z1:AA1"/>
    <mergeCell ref="AC1:AD1"/>
    <mergeCell ref="AF1:AG1"/>
    <mergeCell ref="BS1:BT1"/>
    <mergeCell ref="AL1:AM1"/>
    <mergeCell ref="AO1:AP1"/>
    <mergeCell ref="AR1:AS1"/>
    <mergeCell ref="AU1:AV1"/>
    <mergeCell ref="AX1:AY1"/>
    <mergeCell ref="BA1:BB1"/>
    <mergeCell ref="BD1:BE1"/>
    <mergeCell ref="BG1:BH1"/>
    <mergeCell ref="BJ1:BK1"/>
    <mergeCell ref="BM1:BN1"/>
    <mergeCell ref="BP1:BQ1"/>
    <mergeCell ref="CN1:CO1"/>
    <mergeCell ref="BV1:BW1"/>
    <mergeCell ref="BY1:BZ1"/>
    <mergeCell ref="CB1:CC1"/>
    <mergeCell ref="CE1:CF1"/>
    <mergeCell ref="CH1:CI1"/>
    <mergeCell ref="CK1:CL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4"/>
  <dimension ref="A1"/>
  <sheetViews>
    <sheetView workbookViewId="0">
      <selection activeCell="N18" sqref="N18"/>
    </sheetView>
  </sheetViews>
  <sheetFormatPr defaultRowHeight="14.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9"/>
  <dimension ref="A1:AY71"/>
  <sheetViews>
    <sheetView workbookViewId="0">
      <pane ySplit="2" topLeftCell="A12" activePane="bottomLeft" state="frozen"/>
      <selection pane="bottomLeft" activeCell="B1" sqref="B1:F2"/>
    </sheetView>
  </sheetViews>
  <sheetFormatPr defaultRowHeight="14.5" x14ac:dyDescent="0.35"/>
  <sheetData>
    <row r="1" spans="1:51" x14ac:dyDescent="0.35">
      <c r="B1" s="99" t="s">
        <v>270</v>
      </c>
      <c r="C1" s="100"/>
      <c r="E1" s="99" t="s">
        <v>271</v>
      </c>
      <c r="F1" s="100"/>
      <c r="H1" s="99" t="s">
        <v>272</v>
      </c>
      <c r="I1" s="100"/>
      <c r="K1" s="96" t="s">
        <v>273</v>
      </c>
      <c r="L1" s="97"/>
      <c r="N1" s="96" t="s">
        <v>274</v>
      </c>
      <c r="O1" s="97"/>
      <c r="Q1" s="96" t="s">
        <v>275</v>
      </c>
      <c r="R1" s="97"/>
      <c r="T1" s="96" t="s">
        <v>276</v>
      </c>
      <c r="U1" s="97"/>
      <c r="W1" s="96" t="s">
        <v>277</v>
      </c>
      <c r="X1" s="97"/>
      <c r="Z1" s="96" t="s">
        <v>278</v>
      </c>
      <c r="AA1" s="97"/>
      <c r="AC1" s="96" t="s">
        <v>279</v>
      </c>
      <c r="AD1" s="97"/>
      <c r="AF1" s="96" t="s">
        <v>280</v>
      </c>
      <c r="AG1" s="97"/>
      <c r="AI1" s="99" t="s">
        <v>281</v>
      </c>
      <c r="AJ1" s="100"/>
      <c r="AK1" s="65"/>
      <c r="AL1" s="96" t="s">
        <v>282</v>
      </c>
      <c r="AM1" s="97"/>
      <c r="AO1" s="99" t="s">
        <v>283</v>
      </c>
      <c r="AP1" s="100"/>
      <c r="AR1" s="99" t="s">
        <v>284</v>
      </c>
      <c r="AS1" s="100"/>
      <c r="AU1" s="99" t="s">
        <v>266</v>
      </c>
      <c r="AV1" s="100"/>
      <c r="AX1" s="99" t="s">
        <v>267</v>
      </c>
      <c r="AY1" s="100"/>
    </row>
    <row r="2" spans="1:51" x14ac:dyDescent="0.35">
      <c r="B2" s="1" t="s">
        <v>32</v>
      </c>
      <c r="C2" s="1" t="s">
        <v>33</v>
      </c>
      <c r="E2" s="1" t="s">
        <v>32</v>
      </c>
      <c r="F2" s="1" t="s">
        <v>33</v>
      </c>
      <c r="H2" s="1" t="s">
        <v>32</v>
      </c>
      <c r="I2" s="1" t="s">
        <v>33</v>
      </c>
      <c r="K2" s="1" t="s">
        <v>32</v>
      </c>
      <c r="L2" s="1" t="s">
        <v>33</v>
      </c>
      <c r="N2" s="1" t="s">
        <v>32</v>
      </c>
      <c r="O2" s="1" t="s">
        <v>33</v>
      </c>
      <c r="Q2" s="1" t="s">
        <v>32</v>
      </c>
      <c r="R2" s="1" t="s">
        <v>33</v>
      </c>
      <c r="T2" s="1" t="s">
        <v>32</v>
      </c>
      <c r="U2" s="1" t="s">
        <v>33</v>
      </c>
      <c r="W2" s="1" t="s">
        <v>32</v>
      </c>
      <c r="X2" s="1" t="s">
        <v>33</v>
      </c>
      <c r="Z2" s="1" t="s">
        <v>32</v>
      </c>
      <c r="AA2" s="1" t="s">
        <v>33</v>
      </c>
      <c r="AC2" s="1" t="s">
        <v>32</v>
      </c>
      <c r="AD2" s="1" t="s">
        <v>33</v>
      </c>
      <c r="AF2" s="1" t="s">
        <v>32</v>
      </c>
      <c r="AG2" s="1" t="s">
        <v>33</v>
      </c>
      <c r="AI2" s="1" t="s">
        <v>32</v>
      </c>
      <c r="AJ2" s="1" t="s">
        <v>33</v>
      </c>
      <c r="AK2" s="65"/>
      <c r="AL2" s="1" t="s">
        <v>32</v>
      </c>
      <c r="AM2" s="1" t="s">
        <v>33</v>
      </c>
      <c r="AO2" s="1" t="s">
        <v>32</v>
      </c>
      <c r="AP2" s="1" t="s">
        <v>33</v>
      </c>
      <c r="AR2" s="1" t="s">
        <v>32</v>
      </c>
      <c r="AS2" s="1" t="s">
        <v>33</v>
      </c>
      <c r="AU2" s="1" t="s">
        <v>32</v>
      </c>
      <c r="AV2" s="1" t="s">
        <v>33</v>
      </c>
      <c r="AX2" s="1" t="s">
        <v>32</v>
      </c>
      <c r="AY2" s="1" t="s">
        <v>33</v>
      </c>
    </row>
    <row r="3" spans="1:51" x14ac:dyDescent="0.35">
      <c r="B3" s="38">
        <v>0</v>
      </c>
      <c r="C3" s="38">
        <v>63.573999999999998</v>
      </c>
      <c r="E3" s="38">
        <v>0</v>
      </c>
      <c r="F3" s="38">
        <v>69.25</v>
      </c>
      <c r="G3" s="65"/>
      <c r="H3" s="38">
        <v>0</v>
      </c>
      <c r="I3" s="38">
        <v>69.73</v>
      </c>
      <c r="K3" s="52">
        <v>0</v>
      </c>
      <c r="L3" s="53">
        <v>67.293999999999997</v>
      </c>
      <c r="M3" s="65"/>
      <c r="N3" s="52">
        <v>0</v>
      </c>
      <c r="O3" s="53">
        <v>58.795999999999999</v>
      </c>
      <c r="Q3" s="52">
        <v>0</v>
      </c>
      <c r="R3" s="53">
        <v>64.433000000000007</v>
      </c>
      <c r="T3" s="53">
        <v>0</v>
      </c>
      <c r="U3" s="53">
        <v>64.180000000000007</v>
      </c>
      <c r="W3" s="53">
        <v>0</v>
      </c>
      <c r="X3" s="53">
        <v>67.201999999999998</v>
      </c>
      <c r="Z3" s="53">
        <v>0</v>
      </c>
      <c r="AA3" s="53">
        <v>74.367999999999995</v>
      </c>
      <c r="AC3" s="53">
        <v>0</v>
      </c>
      <c r="AD3" s="53">
        <v>68.754999999999995</v>
      </c>
      <c r="AF3" s="53">
        <v>0</v>
      </c>
      <c r="AG3" s="53">
        <v>69.873999999999995</v>
      </c>
      <c r="AI3" s="53">
        <v>0</v>
      </c>
      <c r="AJ3" s="53">
        <v>68.756</v>
      </c>
      <c r="AK3" s="65"/>
      <c r="AL3" s="38">
        <v>0</v>
      </c>
      <c r="AM3" s="38">
        <v>68.625</v>
      </c>
      <c r="AO3" s="53">
        <v>0</v>
      </c>
      <c r="AP3" s="53">
        <v>69.733000000000004</v>
      </c>
      <c r="AR3" s="53">
        <v>0</v>
      </c>
      <c r="AS3" s="53">
        <v>67.102000000000004</v>
      </c>
      <c r="AU3" s="38">
        <v>0</v>
      </c>
      <c r="AV3" s="38">
        <v>73.218000000000004</v>
      </c>
      <c r="AX3" s="38">
        <v>0</v>
      </c>
      <c r="AY3" s="38">
        <v>68.522000000000006</v>
      </c>
    </row>
    <row r="4" spans="1:51" x14ac:dyDescent="0.35">
      <c r="B4" s="38">
        <v>232</v>
      </c>
      <c r="C4" s="38">
        <v>64.001000000000005</v>
      </c>
      <c r="E4" s="38">
        <v>260</v>
      </c>
      <c r="F4" s="38">
        <v>68.632000000000005</v>
      </c>
      <c r="G4" s="65"/>
      <c r="H4" s="38">
        <v>195</v>
      </c>
      <c r="I4" s="38">
        <v>67.173000000000002</v>
      </c>
      <c r="K4" s="52">
        <v>129</v>
      </c>
      <c r="L4" s="53">
        <v>66.808999999999997</v>
      </c>
      <c r="N4" s="52">
        <v>73</v>
      </c>
      <c r="O4" s="53">
        <v>58.192999999999998</v>
      </c>
      <c r="Q4" s="52">
        <v>339</v>
      </c>
      <c r="R4" s="53">
        <v>63.802999999999997</v>
      </c>
      <c r="T4" s="53">
        <v>290</v>
      </c>
      <c r="U4" s="53">
        <v>62.076999999999998</v>
      </c>
      <c r="W4" s="53">
        <v>394</v>
      </c>
      <c r="X4" s="53">
        <v>64.572999999999993</v>
      </c>
      <c r="Z4" s="53">
        <v>57</v>
      </c>
      <c r="AA4" s="53">
        <v>73.861999999999995</v>
      </c>
      <c r="AC4" s="53">
        <v>235</v>
      </c>
      <c r="AD4" s="53">
        <v>69.052999999999997</v>
      </c>
      <c r="AF4" s="53">
        <v>165</v>
      </c>
      <c r="AG4" s="53">
        <v>67.989000000000004</v>
      </c>
      <c r="AI4" s="53">
        <v>70</v>
      </c>
      <c r="AJ4" s="53">
        <v>68.822999999999993</v>
      </c>
      <c r="AK4" s="65"/>
      <c r="AL4" s="38">
        <v>108</v>
      </c>
      <c r="AM4" s="38">
        <v>68.475999999999999</v>
      </c>
      <c r="AO4" s="53">
        <v>59</v>
      </c>
      <c r="AP4" s="53">
        <v>69.320999999999998</v>
      </c>
      <c r="AR4" s="53">
        <v>309</v>
      </c>
      <c r="AS4" s="53">
        <v>66.543999999999997</v>
      </c>
      <c r="AU4" s="38">
        <v>250</v>
      </c>
      <c r="AV4" s="38">
        <v>71.911000000000001</v>
      </c>
      <c r="AX4" s="38">
        <v>200</v>
      </c>
      <c r="AY4" s="38">
        <v>73.001999999999995</v>
      </c>
    </row>
    <row r="5" spans="1:51" x14ac:dyDescent="0.35">
      <c r="B5" s="38">
        <v>501</v>
      </c>
      <c r="C5" s="38">
        <v>62.057000000000002</v>
      </c>
      <c r="E5" s="38">
        <v>469</v>
      </c>
      <c r="F5" s="38">
        <v>68.710999999999999</v>
      </c>
      <c r="G5" s="65"/>
      <c r="H5" s="38">
        <v>246</v>
      </c>
      <c r="I5" s="38">
        <v>66.998999999999995</v>
      </c>
      <c r="K5" s="52">
        <v>246</v>
      </c>
      <c r="L5" s="53">
        <v>65.103999999999999</v>
      </c>
      <c r="N5" s="52">
        <v>193</v>
      </c>
      <c r="O5" s="53">
        <v>59.781999999999996</v>
      </c>
      <c r="P5" s="19" t="s">
        <v>64</v>
      </c>
      <c r="Q5" s="31">
        <v>485</v>
      </c>
      <c r="R5" s="39">
        <v>63.231000000000002</v>
      </c>
      <c r="T5" s="38">
        <v>408</v>
      </c>
      <c r="U5" s="38">
        <v>64.119</v>
      </c>
      <c r="W5" s="38">
        <v>567</v>
      </c>
      <c r="X5" s="38">
        <v>65.295000000000002</v>
      </c>
      <c r="Z5" s="53">
        <v>180</v>
      </c>
      <c r="AA5" s="53">
        <v>74.305999999999997</v>
      </c>
      <c r="AC5" s="53">
        <v>416</v>
      </c>
      <c r="AD5" s="53">
        <v>68.522999999999996</v>
      </c>
      <c r="AF5" s="53">
        <v>287</v>
      </c>
      <c r="AG5" s="53">
        <v>67.358999999999995</v>
      </c>
      <c r="AI5" s="53">
        <v>182</v>
      </c>
      <c r="AJ5" s="53">
        <v>68.873999999999995</v>
      </c>
      <c r="AK5" s="65"/>
      <c r="AL5" s="38">
        <v>207</v>
      </c>
      <c r="AM5" s="38">
        <v>67.590999999999994</v>
      </c>
      <c r="AO5" s="53">
        <v>156</v>
      </c>
      <c r="AP5" s="53">
        <v>68.709000000000003</v>
      </c>
      <c r="AR5" s="53">
        <v>403</v>
      </c>
      <c r="AS5" s="53">
        <v>64.944999999999993</v>
      </c>
      <c r="AU5" s="38">
        <v>432</v>
      </c>
      <c r="AV5" s="38">
        <v>71.253</v>
      </c>
      <c r="AX5" s="38">
        <v>407</v>
      </c>
      <c r="AY5" s="38">
        <v>72.150999999999996</v>
      </c>
    </row>
    <row r="6" spans="1:51" x14ac:dyDescent="0.35">
      <c r="B6" s="38">
        <v>631</v>
      </c>
      <c r="C6" s="53">
        <v>64.185000000000002</v>
      </c>
      <c r="E6" s="38">
        <v>614</v>
      </c>
      <c r="F6" s="38">
        <v>68.272000000000006</v>
      </c>
      <c r="G6" s="65"/>
      <c r="H6" s="38">
        <v>335</v>
      </c>
      <c r="I6" s="38">
        <v>68.049000000000007</v>
      </c>
      <c r="K6" s="52">
        <v>445</v>
      </c>
      <c r="L6" s="53">
        <v>64.251999999999995</v>
      </c>
      <c r="N6" s="52">
        <v>373</v>
      </c>
      <c r="O6" s="53">
        <v>59.149000000000001</v>
      </c>
      <c r="Q6" s="52">
        <v>608</v>
      </c>
      <c r="R6" s="53">
        <v>64.733000000000004</v>
      </c>
      <c r="T6" s="53">
        <v>561</v>
      </c>
      <c r="U6" s="53">
        <v>61.076999999999998</v>
      </c>
      <c r="W6" s="53">
        <v>624</v>
      </c>
      <c r="X6" s="53">
        <v>65.677000000000007</v>
      </c>
      <c r="Z6" s="53">
        <v>302</v>
      </c>
      <c r="AA6" s="53">
        <v>72.430000000000007</v>
      </c>
      <c r="AC6" s="53">
        <v>522</v>
      </c>
      <c r="AD6" s="53">
        <v>67.989000000000004</v>
      </c>
      <c r="AF6" s="53">
        <v>408</v>
      </c>
      <c r="AG6" s="53">
        <v>66.954999999999998</v>
      </c>
      <c r="AI6" s="53">
        <v>287</v>
      </c>
      <c r="AJ6" s="53">
        <v>67.938999999999993</v>
      </c>
      <c r="AK6" s="65"/>
      <c r="AL6" s="38">
        <v>418</v>
      </c>
      <c r="AM6" s="38">
        <v>67.92</v>
      </c>
      <c r="AO6" s="53">
        <v>270</v>
      </c>
      <c r="AP6" s="53">
        <v>68.760999999999996</v>
      </c>
      <c r="AQ6" s="103" t="s">
        <v>64</v>
      </c>
      <c r="AR6" s="70">
        <v>518</v>
      </c>
      <c r="AS6" s="70">
        <v>64.861000000000004</v>
      </c>
      <c r="AT6" s="19" t="s">
        <v>119</v>
      </c>
      <c r="AU6" s="39">
        <v>601</v>
      </c>
      <c r="AV6" s="39">
        <v>71.766000000000005</v>
      </c>
      <c r="AX6" s="38">
        <v>518</v>
      </c>
      <c r="AY6" s="38">
        <v>72.206999999999994</v>
      </c>
    </row>
    <row r="7" spans="1:51" x14ac:dyDescent="0.35">
      <c r="B7" s="38">
        <v>816</v>
      </c>
      <c r="C7" s="53">
        <v>61.688000000000002</v>
      </c>
      <c r="E7" s="38">
        <v>778</v>
      </c>
      <c r="F7" s="38">
        <v>66.069999999999993</v>
      </c>
      <c r="G7" s="65"/>
      <c r="H7" s="38">
        <v>454</v>
      </c>
      <c r="I7" s="38">
        <v>67.132000000000005</v>
      </c>
      <c r="K7" s="52">
        <v>609</v>
      </c>
      <c r="L7" s="53">
        <v>63.750999999999998</v>
      </c>
      <c r="N7" s="52">
        <v>456</v>
      </c>
      <c r="O7" s="53">
        <v>58.256999999999998</v>
      </c>
      <c r="Q7" s="52">
        <v>733</v>
      </c>
      <c r="R7" s="53">
        <v>64.867000000000004</v>
      </c>
      <c r="T7" s="53">
        <v>671</v>
      </c>
      <c r="U7" s="53">
        <v>60.603000000000002</v>
      </c>
      <c r="W7" s="53">
        <v>785</v>
      </c>
      <c r="X7" s="53">
        <v>65.653000000000006</v>
      </c>
      <c r="Z7" s="53">
        <v>470</v>
      </c>
      <c r="AA7" s="53">
        <v>74.975999999999999</v>
      </c>
      <c r="AC7" s="53">
        <v>690</v>
      </c>
      <c r="AD7" s="53">
        <v>67.802000000000007</v>
      </c>
      <c r="AF7" s="53">
        <v>517</v>
      </c>
      <c r="AG7" s="53">
        <v>66.536000000000001</v>
      </c>
      <c r="AI7" s="53">
        <v>454</v>
      </c>
      <c r="AJ7" s="53">
        <v>66.807000000000002</v>
      </c>
      <c r="AK7" s="65"/>
      <c r="AL7" s="38">
        <v>542</v>
      </c>
      <c r="AM7" s="38">
        <v>67.825000000000003</v>
      </c>
      <c r="AO7" s="53">
        <v>665</v>
      </c>
      <c r="AP7" s="53">
        <v>68.471000000000004</v>
      </c>
      <c r="AQ7" s="103"/>
      <c r="AR7" s="71">
        <v>776</v>
      </c>
      <c r="AS7" s="71">
        <v>64.516000000000005</v>
      </c>
      <c r="AU7" s="38">
        <v>843</v>
      </c>
      <c r="AV7" s="38">
        <v>71.209999999999994</v>
      </c>
      <c r="AX7" s="38">
        <v>664</v>
      </c>
      <c r="AY7" s="38">
        <v>71.576999999999998</v>
      </c>
    </row>
    <row r="8" spans="1:51" x14ac:dyDescent="0.35">
      <c r="A8" s="19" t="s">
        <v>64</v>
      </c>
      <c r="B8" s="9">
        <v>945</v>
      </c>
      <c r="C8" s="9">
        <v>59.83</v>
      </c>
      <c r="E8" s="38">
        <v>1034</v>
      </c>
      <c r="F8" s="38">
        <v>67.887</v>
      </c>
      <c r="G8" s="65"/>
      <c r="H8" s="38">
        <v>564</v>
      </c>
      <c r="I8" s="38">
        <v>67.058999999999997</v>
      </c>
      <c r="K8" s="52">
        <v>859</v>
      </c>
      <c r="L8" s="53">
        <v>63.274999999999999</v>
      </c>
      <c r="N8" s="52">
        <v>559</v>
      </c>
      <c r="O8" s="53">
        <v>55.904000000000003</v>
      </c>
      <c r="Q8" s="52">
        <v>849</v>
      </c>
      <c r="R8" s="53">
        <v>65.078999999999994</v>
      </c>
      <c r="T8" s="53">
        <v>788</v>
      </c>
      <c r="U8" s="53">
        <v>63.920999999999999</v>
      </c>
      <c r="W8" s="53">
        <v>866</v>
      </c>
      <c r="X8" s="53">
        <v>65.293000000000006</v>
      </c>
      <c r="Z8" s="53">
        <v>576</v>
      </c>
      <c r="AA8" s="53">
        <v>75.361999999999995</v>
      </c>
      <c r="AC8" s="53">
        <v>1267</v>
      </c>
      <c r="AD8" s="53">
        <v>67.725999999999999</v>
      </c>
      <c r="AF8" s="53">
        <v>600</v>
      </c>
      <c r="AG8" s="53">
        <v>66.144999999999996</v>
      </c>
      <c r="AI8" s="53">
        <v>609</v>
      </c>
      <c r="AJ8" s="53">
        <v>66.716999999999999</v>
      </c>
      <c r="AK8" s="65"/>
      <c r="AL8" s="38">
        <v>729</v>
      </c>
      <c r="AM8" s="38">
        <v>68.045000000000002</v>
      </c>
      <c r="AO8" s="53">
        <v>852</v>
      </c>
      <c r="AP8" s="53">
        <v>69.069999999999993</v>
      </c>
      <c r="AR8" s="53">
        <v>877</v>
      </c>
      <c r="AS8" s="53">
        <v>64.646000000000001</v>
      </c>
      <c r="AU8" s="38">
        <v>942</v>
      </c>
      <c r="AV8" s="38">
        <v>71.394000000000005</v>
      </c>
      <c r="AX8" s="38">
        <v>855</v>
      </c>
      <c r="AY8" s="38">
        <v>71.134</v>
      </c>
    </row>
    <row r="9" spans="1:51" x14ac:dyDescent="0.35">
      <c r="B9" s="38">
        <v>1063</v>
      </c>
      <c r="C9" s="53">
        <v>61.706000000000003</v>
      </c>
      <c r="E9" s="38">
        <v>1209</v>
      </c>
      <c r="F9" s="38">
        <v>66.843999999999994</v>
      </c>
      <c r="G9" s="65"/>
      <c r="H9" s="38">
        <v>734</v>
      </c>
      <c r="I9" s="38">
        <v>67.173000000000002</v>
      </c>
      <c r="K9" s="52">
        <v>1003</v>
      </c>
      <c r="L9" s="53">
        <v>64.406999999999996</v>
      </c>
      <c r="N9" s="52">
        <v>639</v>
      </c>
      <c r="O9" s="53">
        <v>56.594000000000001</v>
      </c>
      <c r="Q9" s="52">
        <v>949</v>
      </c>
      <c r="R9" s="53">
        <v>64.768000000000001</v>
      </c>
      <c r="T9" s="53">
        <v>953</v>
      </c>
      <c r="U9" s="53">
        <v>62.875999999999998</v>
      </c>
      <c r="W9" s="53">
        <v>984</v>
      </c>
      <c r="X9" s="53">
        <v>65.055000000000007</v>
      </c>
      <c r="Z9" s="53">
        <v>768</v>
      </c>
      <c r="AA9" s="53">
        <v>74.39</v>
      </c>
      <c r="AC9" s="53">
        <v>1369</v>
      </c>
      <c r="AD9" s="53">
        <v>67.581999999999994</v>
      </c>
      <c r="AF9" s="53">
        <v>692</v>
      </c>
      <c r="AG9" s="53">
        <v>66.218999999999994</v>
      </c>
      <c r="AI9" s="53">
        <v>723</v>
      </c>
      <c r="AJ9" s="53">
        <v>66.480999999999995</v>
      </c>
      <c r="AK9" s="65"/>
      <c r="AL9" s="38">
        <v>898</v>
      </c>
      <c r="AM9" s="38">
        <v>67.882000000000005</v>
      </c>
      <c r="AO9" s="53">
        <v>948</v>
      </c>
      <c r="AP9" s="53">
        <v>69.268000000000001</v>
      </c>
      <c r="AR9" s="53">
        <v>1078</v>
      </c>
      <c r="AS9" s="53">
        <v>66.42</v>
      </c>
      <c r="AU9" s="38">
        <v>1334</v>
      </c>
      <c r="AV9" s="38">
        <v>70.802000000000007</v>
      </c>
      <c r="AX9" s="38">
        <v>1004</v>
      </c>
      <c r="AY9" s="38">
        <v>71.055999999999997</v>
      </c>
    </row>
    <row r="10" spans="1:51" x14ac:dyDescent="0.35">
      <c r="B10" s="38">
        <v>1254</v>
      </c>
      <c r="C10" s="53">
        <v>60.445</v>
      </c>
      <c r="E10" s="38">
        <v>1355</v>
      </c>
      <c r="F10" s="38">
        <v>65.703999999999994</v>
      </c>
      <c r="G10" s="65"/>
      <c r="H10" s="38">
        <v>829</v>
      </c>
      <c r="I10" s="38">
        <v>67.206999999999994</v>
      </c>
      <c r="K10" s="52">
        <v>1194</v>
      </c>
      <c r="L10" s="53">
        <v>65.781000000000006</v>
      </c>
      <c r="N10" s="52">
        <v>698</v>
      </c>
      <c r="O10" s="53">
        <v>57.194000000000003</v>
      </c>
      <c r="Q10" s="52">
        <v>1026</v>
      </c>
      <c r="R10" s="53">
        <v>64.908000000000001</v>
      </c>
      <c r="T10" s="53">
        <v>1137</v>
      </c>
      <c r="U10" s="53">
        <v>64.242999999999995</v>
      </c>
      <c r="W10" s="53">
        <v>1080</v>
      </c>
      <c r="X10" s="53">
        <v>65.012</v>
      </c>
      <c r="Z10" s="53">
        <v>949</v>
      </c>
      <c r="AA10" s="53">
        <v>73.658000000000001</v>
      </c>
      <c r="AC10" s="53">
        <v>1582</v>
      </c>
      <c r="AD10" s="53">
        <v>66.944000000000003</v>
      </c>
      <c r="AF10" s="53">
        <v>766</v>
      </c>
      <c r="AG10" s="53">
        <v>65.552000000000007</v>
      </c>
      <c r="AI10" s="53">
        <v>967</v>
      </c>
      <c r="AJ10" s="53">
        <v>66.778000000000006</v>
      </c>
      <c r="AK10" s="65"/>
      <c r="AL10" s="38">
        <v>1026</v>
      </c>
      <c r="AM10" s="38">
        <v>67.974999999999994</v>
      </c>
      <c r="AO10" s="53">
        <v>1063</v>
      </c>
      <c r="AP10" s="53">
        <v>68.263999999999996</v>
      </c>
      <c r="AR10" s="53">
        <v>1279</v>
      </c>
      <c r="AS10" s="53">
        <v>66.477999999999994</v>
      </c>
      <c r="AT10" s="19" t="s">
        <v>110</v>
      </c>
      <c r="AU10" s="9">
        <v>1515</v>
      </c>
      <c r="AV10" s="9">
        <v>69.489999999999995</v>
      </c>
      <c r="AX10" s="38">
        <v>1286</v>
      </c>
      <c r="AY10" s="38">
        <v>71.078000000000003</v>
      </c>
    </row>
    <row r="11" spans="1:51" x14ac:dyDescent="0.35">
      <c r="B11" s="38">
        <v>1360</v>
      </c>
      <c r="C11" s="53">
        <v>61.753999999999998</v>
      </c>
      <c r="E11" s="38">
        <v>1444</v>
      </c>
      <c r="F11" s="38">
        <v>65.417000000000002</v>
      </c>
      <c r="G11" s="65"/>
      <c r="H11" s="38">
        <v>941</v>
      </c>
      <c r="I11" s="38">
        <v>68.088999999999999</v>
      </c>
      <c r="K11" s="52">
        <v>1377</v>
      </c>
      <c r="L11" s="53">
        <v>64.915999999999997</v>
      </c>
      <c r="N11" s="52">
        <v>800</v>
      </c>
      <c r="O11" s="53">
        <v>57.517000000000003</v>
      </c>
      <c r="Q11" s="52">
        <v>1205</v>
      </c>
      <c r="R11" s="53">
        <v>60.53</v>
      </c>
      <c r="T11" s="53">
        <v>1286</v>
      </c>
      <c r="U11" s="53">
        <v>64.072999999999993</v>
      </c>
      <c r="W11" s="53">
        <v>1300</v>
      </c>
      <c r="X11" s="53">
        <v>64.783000000000001</v>
      </c>
      <c r="Z11" s="53">
        <v>1146</v>
      </c>
      <c r="AA11" s="53">
        <v>70.700999999999993</v>
      </c>
      <c r="AC11" s="53">
        <v>1754</v>
      </c>
      <c r="AD11" s="53">
        <v>66.7</v>
      </c>
      <c r="AF11" s="53">
        <v>880</v>
      </c>
      <c r="AG11" s="53">
        <v>65.040000000000006</v>
      </c>
      <c r="AI11" s="53">
        <v>1038</v>
      </c>
      <c r="AJ11" s="53">
        <v>66.661000000000001</v>
      </c>
      <c r="AK11" s="65"/>
      <c r="AL11" s="38">
        <v>1489</v>
      </c>
      <c r="AM11" s="38">
        <v>67.692999999999998</v>
      </c>
      <c r="AO11" s="53">
        <v>1142</v>
      </c>
      <c r="AP11" s="53">
        <v>68.102999999999994</v>
      </c>
      <c r="AR11" s="53">
        <v>1464</v>
      </c>
      <c r="AS11" s="53">
        <v>64.647999999999996</v>
      </c>
      <c r="AU11" s="38">
        <v>1618</v>
      </c>
      <c r="AV11" s="38">
        <v>70.831999999999994</v>
      </c>
      <c r="AX11" s="38">
        <v>1442</v>
      </c>
      <c r="AY11" s="38">
        <v>72.028000000000006</v>
      </c>
    </row>
    <row r="12" spans="1:51" x14ac:dyDescent="0.35">
      <c r="A12" s="19" t="s">
        <v>234</v>
      </c>
      <c r="B12" s="9">
        <v>1622</v>
      </c>
      <c r="C12" s="9">
        <v>62.581000000000003</v>
      </c>
      <c r="E12" s="38">
        <v>1578</v>
      </c>
      <c r="F12" s="38">
        <v>64.900000000000006</v>
      </c>
      <c r="G12" s="65"/>
      <c r="H12" s="38">
        <v>1060</v>
      </c>
      <c r="I12" s="38">
        <v>70.102999999999994</v>
      </c>
      <c r="K12" s="52">
        <v>1481</v>
      </c>
      <c r="L12" s="53">
        <v>62.701000000000001</v>
      </c>
      <c r="N12" s="52">
        <v>916</v>
      </c>
      <c r="O12" s="53">
        <v>58.067</v>
      </c>
      <c r="Q12" s="52">
        <v>1329</v>
      </c>
      <c r="R12" s="53">
        <v>63.085999999999999</v>
      </c>
      <c r="T12" s="53">
        <v>1435</v>
      </c>
      <c r="U12" s="53">
        <v>63.289000000000001</v>
      </c>
      <c r="W12" s="53">
        <v>1460</v>
      </c>
      <c r="X12" s="53">
        <v>65.111000000000004</v>
      </c>
      <c r="Z12" s="53">
        <v>1321</v>
      </c>
      <c r="AA12" s="53">
        <v>70.171000000000006</v>
      </c>
      <c r="AC12" s="53">
        <v>1935</v>
      </c>
      <c r="AD12" s="53">
        <v>67.5</v>
      </c>
      <c r="AF12" s="53">
        <v>961</v>
      </c>
      <c r="AG12" s="53">
        <v>64.875</v>
      </c>
      <c r="AI12" s="53">
        <v>1147</v>
      </c>
      <c r="AJ12" s="53">
        <v>66.153999999999996</v>
      </c>
      <c r="AK12" s="65"/>
      <c r="AL12" s="38">
        <v>2003</v>
      </c>
      <c r="AM12" s="38">
        <v>67.876999999999995</v>
      </c>
      <c r="AO12" s="53">
        <v>1213</v>
      </c>
      <c r="AP12" s="53">
        <v>67.685000000000002</v>
      </c>
      <c r="AR12" s="53">
        <v>1602</v>
      </c>
      <c r="AS12" s="53">
        <v>64.495999999999995</v>
      </c>
      <c r="AU12" s="38">
        <v>1753</v>
      </c>
      <c r="AV12" s="38">
        <v>70.760999999999996</v>
      </c>
      <c r="AX12" s="38">
        <v>1843</v>
      </c>
      <c r="AY12" s="38">
        <v>70.762</v>
      </c>
    </row>
    <row r="13" spans="1:51" x14ac:dyDescent="0.35">
      <c r="B13" s="62"/>
      <c r="C13" s="62"/>
      <c r="D13" s="13" t="s">
        <v>64</v>
      </c>
      <c r="E13" s="15">
        <v>1684</v>
      </c>
      <c r="F13" s="15">
        <v>63.921999999999997</v>
      </c>
      <c r="G13" s="65"/>
      <c r="H13" s="38">
        <v>1124</v>
      </c>
      <c r="I13" s="38">
        <v>72.448999999999998</v>
      </c>
      <c r="K13" s="52">
        <v>1609</v>
      </c>
      <c r="L13" s="53">
        <v>59.883000000000003</v>
      </c>
      <c r="N13" s="52">
        <v>1034</v>
      </c>
      <c r="O13" s="53">
        <v>59.116999999999997</v>
      </c>
      <c r="Q13" s="52">
        <v>1411</v>
      </c>
      <c r="R13" s="53">
        <v>64.111000000000004</v>
      </c>
      <c r="T13" s="53">
        <v>1720</v>
      </c>
      <c r="U13" s="53">
        <v>65.034999999999997</v>
      </c>
      <c r="W13" s="53">
        <v>1573</v>
      </c>
      <c r="X13" s="53">
        <v>63.095999999999997</v>
      </c>
      <c r="Z13" s="53">
        <v>1513</v>
      </c>
      <c r="AA13" s="53">
        <v>68.361000000000004</v>
      </c>
      <c r="AC13" s="53">
        <v>2171</v>
      </c>
      <c r="AD13" s="53">
        <v>66.358000000000004</v>
      </c>
      <c r="AF13" s="53">
        <v>1072</v>
      </c>
      <c r="AG13" s="53">
        <v>65.078999999999994</v>
      </c>
      <c r="AI13" s="53">
        <v>1222</v>
      </c>
      <c r="AJ13" s="53">
        <v>66.043000000000006</v>
      </c>
      <c r="AK13" s="65"/>
      <c r="AL13" s="38">
        <v>2221</v>
      </c>
      <c r="AM13" s="38">
        <v>68.046999999999997</v>
      </c>
      <c r="AO13" s="53">
        <v>1287</v>
      </c>
      <c r="AP13" s="53">
        <v>67.543000000000006</v>
      </c>
      <c r="AR13" s="53">
        <v>1707</v>
      </c>
      <c r="AS13" s="53">
        <v>63.06</v>
      </c>
      <c r="AU13" s="38">
        <v>2032</v>
      </c>
      <c r="AV13" s="38">
        <v>70.311000000000007</v>
      </c>
      <c r="AX13" s="38">
        <v>2009</v>
      </c>
      <c r="AY13" s="38">
        <v>70.260000000000005</v>
      </c>
    </row>
    <row r="14" spans="1:51" x14ac:dyDescent="0.35">
      <c r="B14" s="62"/>
      <c r="C14" s="62"/>
      <c r="E14" s="38">
        <v>1808</v>
      </c>
      <c r="F14" s="38">
        <v>65.888999999999996</v>
      </c>
      <c r="G14" s="65"/>
      <c r="H14" s="38">
        <v>1230</v>
      </c>
      <c r="I14" s="38">
        <v>68.921999999999997</v>
      </c>
      <c r="K14" s="52">
        <v>1722</v>
      </c>
      <c r="L14" s="53">
        <v>59.328000000000003</v>
      </c>
      <c r="N14" s="52">
        <v>1383</v>
      </c>
      <c r="O14" s="53">
        <v>60.42</v>
      </c>
      <c r="Q14" s="52">
        <v>1620</v>
      </c>
      <c r="R14" s="53">
        <v>64.072999999999993</v>
      </c>
      <c r="T14" s="53">
        <v>1835</v>
      </c>
      <c r="U14" s="53">
        <v>65.94</v>
      </c>
      <c r="W14" s="53">
        <v>1694</v>
      </c>
      <c r="X14" s="53">
        <v>62.13</v>
      </c>
      <c r="Z14" s="53">
        <v>1760</v>
      </c>
      <c r="AA14" s="53">
        <v>67.543999999999997</v>
      </c>
      <c r="AC14" s="53">
        <v>2354</v>
      </c>
      <c r="AD14" s="53">
        <v>65.427999999999997</v>
      </c>
      <c r="AF14" s="53">
        <v>1155</v>
      </c>
      <c r="AG14" s="53">
        <v>65.2</v>
      </c>
      <c r="AI14" s="53">
        <v>1336</v>
      </c>
      <c r="AJ14" s="53">
        <v>66.019000000000005</v>
      </c>
      <c r="AK14" s="65"/>
      <c r="AL14" s="38">
        <v>2319</v>
      </c>
      <c r="AM14" s="38">
        <v>67.91</v>
      </c>
      <c r="AO14" s="53">
        <v>1466</v>
      </c>
      <c r="AP14" s="53">
        <v>67.674000000000007</v>
      </c>
      <c r="AR14" s="53">
        <v>1831</v>
      </c>
      <c r="AS14" s="53">
        <v>64.287000000000006</v>
      </c>
      <c r="AU14" s="38">
        <v>2191</v>
      </c>
      <c r="AV14" s="38">
        <v>71.543999999999997</v>
      </c>
      <c r="AW14" s="13" t="s">
        <v>268</v>
      </c>
      <c r="AX14" s="15">
        <v>2110</v>
      </c>
      <c r="AY14" s="15">
        <v>70.082999999999998</v>
      </c>
    </row>
    <row r="15" spans="1:51" x14ac:dyDescent="0.35">
      <c r="B15" s="62"/>
      <c r="C15" s="62"/>
      <c r="E15" s="38">
        <v>1935</v>
      </c>
      <c r="F15" s="38">
        <v>66.281999999999996</v>
      </c>
      <c r="G15" s="65"/>
      <c r="H15" s="38">
        <v>1325</v>
      </c>
      <c r="I15" s="38">
        <v>67.540999999999997</v>
      </c>
      <c r="K15" s="52">
        <v>1774</v>
      </c>
      <c r="L15" s="53">
        <v>60.429000000000002</v>
      </c>
      <c r="N15" s="52">
        <v>1540</v>
      </c>
      <c r="O15" s="53">
        <v>63.73</v>
      </c>
      <c r="Q15" s="52">
        <v>1700</v>
      </c>
      <c r="R15" s="53">
        <v>63.866</v>
      </c>
      <c r="T15" s="53">
        <v>2045</v>
      </c>
      <c r="U15" s="53">
        <v>64.010000000000005</v>
      </c>
      <c r="V15" s="19" t="s">
        <v>119</v>
      </c>
      <c r="W15" s="9">
        <v>1778</v>
      </c>
      <c r="X15" s="9">
        <v>58.366</v>
      </c>
      <c r="Z15" s="53">
        <v>1884</v>
      </c>
      <c r="AA15" s="53">
        <v>67.62</v>
      </c>
      <c r="AC15" s="53">
        <v>2578</v>
      </c>
      <c r="AD15" s="53">
        <v>66.188999999999993</v>
      </c>
      <c r="AF15" s="53">
        <v>1244</v>
      </c>
      <c r="AG15" s="53">
        <v>65.293000000000006</v>
      </c>
      <c r="AI15" s="53">
        <v>1416</v>
      </c>
      <c r="AJ15" s="53">
        <v>66.034000000000006</v>
      </c>
      <c r="AK15" s="13" t="s">
        <v>295</v>
      </c>
      <c r="AL15" s="15">
        <v>2517</v>
      </c>
      <c r="AM15" s="15">
        <v>68.248000000000005</v>
      </c>
      <c r="AO15" s="53">
        <v>1616</v>
      </c>
      <c r="AP15" s="53">
        <v>67.906999999999996</v>
      </c>
      <c r="AR15" s="53">
        <v>1931</v>
      </c>
      <c r="AS15" s="53">
        <v>64.644000000000005</v>
      </c>
      <c r="AU15" s="38">
        <v>2360</v>
      </c>
      <c r="AV15" s="38">
        <v>73.477999999999994</v>
      </c>
      <c r="AX15" s="38">
        <v>2257</v>
      </c>
      <c r="AY15" s="38">
        <v>69.665999999999997</v>
      </c>
    </row>
    <row r="16" spans="1:51" x14ac:dyDescent="0.35">
      <c r="B16" s="62"/>
      <c r="C16" s="62"/>
      <c r="E16" s="38">
        <v>2226</v>
      </c>
      <c r="F16" s="38">
        <v>65.406000000000006</v>
      </c>
      <c r="G16" s="65"/>
      <c r="H16" s="38">
        <v>1417</v>
      </c>
      <c r="I16" s="38">
        <v>68.518000000000001</v>
      </c>
      <c r="J16" s="19" t="s">
        <v>234</v>
      </c>
      <c r="K16" s="31">
        <v>2053</v>
      </c>
      <c r="L16" s="39">
        <v>64.703000000000003</v>
      </c>
      <c r="N16" s="52">
        <v>1698</v>
      </c>
      <c r="O16" s="53">
        <v>63.482999999999997</v>
      </c>
      <c r="Q16" s="52">
        <v>1784</v>
      </c>
      <c r="R16" s="53">
        <v>63.441000000000003</v>
      </c>
      <c r="T16" s="53">
        <v>2122</v>
      </c>
      <c r="U16" s="53">
        <v>64.271000000000001</v>
      </c>
      <c r="W16" s="53">
        <v>1876</v>
      </c>
      <c r="X16" s="53">
        <v>55.508000000000003</v>
      </c>
      <c r="Z16" s="53">
        <v>2001</v>
      </c>
      <c r="AA16" s="53">
        <v>68.766999999999996</v>
      </c>
      <c r="AC16" s="53">
        <v>2723</v>
      </c>
      <c r="AD16" s="53">
        <v>65.054000000000002</v>
      </c>
      <c r="AF16" s="53">
        <v>1354</v>
      </c>
      <c r="AG16" s="53">
        <v>64.707999999999998</v>
      </c>
      <c r="AI16" s="53">
        <v>1514</v>
      </c>
      <c r="AJ16" s="53">
        <v>66.819999999999993</v>
      </c>
      <c r="AK16" s="65"/>
      <c r="AL16" s="38">
        <v>2659</v>
      </c>
      <c r="AM16" s="38">
        <v>69.709000000000003</v>
      </c>
      <c r="AO16" s="53">
        <v>1809</v>
      </c>
      <c r="AP16" s="53">
        <v>68.188000000000002</v>
      </c>
      <c r="AR16" s="53">
        <v>2033</v>
      </c>
      <c r="AS16" s="53">
        <v>64.375</v>
      </c>
      <c r="AU16" s="38">
        <v>2603</v>
      </c>
      <c r="AV16" s="38">
        <v>70.143000000000001</v>
      </c>
      <c r="AX16" s="38">
        <v>2377</v>
      </c>
      <c r="AY16" s="38">
        <v>69.007000000000005</v>
      </c>
    </row>
    <row r="17" spans="2:51" x14ac:dyDescent="0.35">
      <c r="B17" s="62"/>
      <c r="C17" s="62"/>
      <c r="E17" s="38">
        <v>2368</v>
      </c>
      <c r="F17" s="38">
        <v>64.52</v>
      </c>
      <c r="G17" s="65"/>
      <c r="H17" s="38">
        <v>1543</v>
      </c>
      <c r="I17" s="38">
        <v>68.710999999999999</v>
      </c>
      <c r="N17" s="52">
        <v>1894</v>
      </c>
      <c r="O17" s="53">
        <v>62.173999999999999</v>
      </c>
      <c r="Q17" s="52">
        <v>1896</v>
      </c>
      <c r="R17" s="53">
        <v>63.79</v>
      </c>
      <c r="T17" s="53">
        <v>2288</v>
      </c>
      <c r="U17" s="53">
        <v>61.67</v>
      </c>
      <c r="W17" s="53">
        <v>1983</v>
      </c>
      <c r="X17" s="53">
        <v>60.097000000000001</v>
      </c>
      <c r="Z17" s="53">
        <v>2175</v>
      </c>
      <c r="AA17" s="53">
        <v>68.12</v>
      </c>
      <c r="AC17" s="53">
        <v>2826</v>
      </c>
      <c r="AD17" s="53">
        <v>65.411000000000001</v>
      </c>
      <c r="AF17" s="53">
        <v>1635</v>
      </c>
      <c r="AG17" s="53">
        <v>64.503</v>
      </c>
      <c r="AI17" s="53">
        <v>1603</v>
      </c>
      <c r="AJ17" s="53">
        <v>64.712000000000003</v>
      </c>
      <c r="AK17" s="65"/>
      <c r="AL17" s="38">
        <v>2978</v>
      </c>
      <c r="AM17" s="38">
        <v>67.483999999999995</v>
      </c>
      <c r="AO17" s="53">
        <v>2003</v>
      </c>
      <c r="AP17" s="53">
        <v>67.628</v>
      </c>
      <c r="AR17" s="53">
        <v>2215</v>
      </c>
      <c r="AS17" s="53">
        <v>64.602999999999994</v>
      </c>
      <c r="AT17" s="19" t="s">
        <v>285</v>
      </c>
      <c r="AU17" s="9">
        <v>2688</v>
      </c>
      <c r="AV17" s="9">
        <v>70.082999999999998</v>
      </c>
      <c r="AX17" s="38">
        <v>2573</v>
      </c>
      <c r="AY17" s="38">
        <v>69.072000000000003</v>
      </c>
    </row>
    <row r="18" spans="2:51" x14ac:dyDescent="0.35">
      <c r="B18" s="62"/>
      <c r="C18" s="62"/>
      <c r="E18" s="38">
        <v>2516</v>
      </c>
      <c r="F18" s="38">
        <v>64.331000000000003</v>
      </c>
      <c r="G18" s="65"/>
      <c r="H18" s="38">
        <v>1605</v>
      </c>
      <c r="I18" s="38">
        <v>69.456999999999994</v>
      </c>
      <c r="M18" s="13" t="s">
        <v>64</v>
      </c>
      <c r="N18" s="27">
        <v>2003</v>
      </c>
      <c r="O18" s="15">
        <v>60.404000000000003</v>
      </c>
      <c r="Q18" s="52">
        <v>2015</v>
      </c>
      <c r="R18" s="53">
        <v>63.572000000000003</v>
      </c>
      <c r="T18" s="53">
        <v>2505</v>
      </c>
      <c r="U18" s="53">
        <v>62.039000000000001</v>
      </c>
      <c r="W18" s="53">
        <v>2160</v>
      </c>
      <c r="X18" s="53">
        <v>60.438000000000002</v>
      </c>
      <c r="Z18" s="53">
        <v>2275</v>
      </c>
      <c r="AA18" s="53">
        <v>66.98</v>
      </c>
      <c r="AC18" s="53">
        <v>3058</v>
      </c>
      <c r="AD18" s="53">
        <v>63.17</v>
      </c>
      <c r="AF18" s="53">
        <v>1720</v>
      </c>
      <c r="AG18" s="53">
        <v>64.438999999999993</v>
      </c>
      <c r="AI18" s="53">
        <v>1781</v>
      </c>
      <c r="AJ18" s="53">
        <v>64.736000000000004</v>
      </c>
      <c r="AK18" s="65"/>
      <c r="AL18" s="38">
        <v>3068</v>
      </c>
      <c r="AM18" s="38">
        <v>67.313999999999993</v>
      </c>
      <c r="AO18" s="53">
        <v>2205</v>
      </c>
      <c r="AP18" s="53">
        <v>67.036000000000001</v>
      </c>
      <c r="AR18" s="53">
        <v>2332</v>
      </c>
      <c r="AS18" s="53">
        <v>64.323999999999998</v>
      </c>
      <c r="AU18" s="38">
        <v>2835</v>
      </c>
      <c r="AV18" s="38">
        <v>69.665999999999997</v>
      </c>
      <c r="AX18" s="38">
        <v>2787</v>
      </c>
      <c r="AY18" s="38">
        <v>68.762</v>
      </c>
    </row>
    <row r="19" spans="2:51" x14ac:dyDescent="0.35">
      <c r="B19" s="62"/>
      <c r="C19" s="62"/>
      <c r="D19" s="13" t="s">
        <v>64</v>
      </c>
      <c r="E19" s="15">
        <v>2565</v>
      </c>
      <c r="F19" s="15">
        <v>61.695999999999998</v>
      </c>
      <c r="G19" s="65"/>
      <c r="H19" s="38">
        <v>1700</v>
      </c>
      <c r="I19" s="38">
        <v>68.695999999999998</v>
      </c>
      <c r="N19" s="52">
        <v>2188</v>
      </c>
      <c r="O19" s="53">
        <v>62.654000000000003</v>
      </c>
      <c r="Q19" s="52">
        <v>2093</v>
      </c>
      <c r="R19" s="53">
        <v>63.316000000000003</v>
      </c>
      <c r="T19" s="53">
        <v>2641</v>
      </c>
      <c r="U19" s="53">
        <v>59.780999999999999</v>
      </c>
      <c r="W19" s="53">
        <v>2210</v>
      </c>
      <c r="X19" s="53">
        <v>62.573999999999998</v>
      </c>
      <c r="Z19" s="53">
        <v>2382</v>
      </c>
      <c r="AA19" s="53">
        <v>67.120999999999995</v>
      </c>
      <c r="AC19" s="53">
        <v>3225</v>
      </c>
      <c r="AD19" s="53">
        <v>62.521000000000001</v>
      </c>
      <c r="AF19" s="53">
        <v>1894</v>
      </c>
      <c r="AG19" s="53">
        <v>65.225999999999999</v>
      </c>
      <c r="AI19" s="53">
        <v>1884</v>
      </c>
      <c r="AJ19" s="53">
        <v>66.873000000000005</v>
      </c>
      <c r="AK19" s="65"/>
      <c r="AL19" s="38">
        <v>3201</v>
      </c>
      <c r="AM19" s="38">
        <v>67.298000000000002</v>
      </c>
      <c r="AO19" s="53">
        <v>2375</v>
      </c>
      <c r="AP19" s="53">
        <v>66.709000000000003</v>
      </c>
      <c r="AR19" s="53">
        <v>2407</v>
      </c>
      <c r="AS19" s="53">
        <v>64.951999999999998</v>
      </c>
      <c r="AU19" s="38">
        <v>2955</v>
      </c>
      <c r="AV19" s="38">
        <v>69.007000000000005</v>
      </c>
      <c r="AX19" s="38">
        <v>2908</v>
      </c>
      <c r="AY19" s="38">
        <v>68.578000000000003</v>
      </c>
    </row>
    <row r="20" spans="2:51" x14ac:dyDescent="0.35">
      <c r="B20" s="62"/>
      <c r="C20" s="62"/>
      <c r="E20" s="38">
        <v>2667</v>
      </c>
      <c r="F20" s="38">
        <v>64.602999999999994</v>
      </c>
      <c r="G20" s="65"/>
      <c r="H20" s="38">
        <v>1813</v>
      </c>
      <c r="I20" s="38">
        <v>68.692999999999998</v>
      </c>
      <c r="N20" s="52">
        <v>2508</v>
      </c>
      <c r="O20" s="53">
        <v>62.488</v>
      </c>
      <c r="Q20" s="52">
        <v>2273</v>
      </c>
      <c r="R20" s="53">
        <v>62.881999999999998</v>
      </c>
      <c r="T20" s="53">
        <v>2927</v>
      </c>
      <c r="U20" s="53">
        <v>59.613</v>
      </c>
      <c r="W20" s="53">
        <v>2344</v>
      </c>
      <c r="X20" s="53">
        <v>63.304000000000002</v>
      </c>
      <c r="Z20" s="53">
        <v>2507</v>
      </c>
      <c r="AA20" s="53">
        <v>66.792000000000002</v>
      </c>
      <c r="AC20" s="53">
        <v>3338</v>
      </c>
      <c r="AD20" s="53">
        <v>61.649000000000001</v>
      </c>
      <c r="AF20" s="53">
        <v>1978</v>
      </c>
      <c r="AG20" s="53">
        <v>65.460999999999999</v>
      </c>
      <c r="AI20" s="53">
        <v>1994</v>
      </c>
      <c r="AJ20" s="53">
        <v>66.584000000000003</v>
      </c>
      <c r="AK20" s="65"/>
      <c r="AL20" s="38">
        <v>3466</v>
      </c>
      <c r="AM20" s="38">
        <v>67.42</v>
      </c>
      <c r="AO20" s="53">
        <v>2566</v>
      </c>
      <c r="AP20" s="53">
        <v>66.543999999999997</v>
      </c>
      <c r="AR20" s="53">
        <v>2481</v>
      </c>
      <c r="AS20" s="53">
        <v>63.890999999999998</v>
      </c>
      <c r="AT20" s="52"/>
      <c r="AU20" s="38">
        <v>3151</v>
      </c>
      <c r="AV20" s="38">
        <v>69.072000000000003</v>
      </c>
      <c r="AX20" s="38">
        <v>3018</v>
      </c>
      <c r="AY20" s="38">
        <v>68.611000000000004</v>
      </c>
    </row>
    <row r="21" spans="2:51" x14ac:dyDescent="0.35">
      <c r="B21" s="62"/>
      <c r="C21" s="62"/>
      <c r="E21" s="38">
        <v>2814</v>
      </c>
      <c r="F21" s="38">
        <v>64.694000000000003</v>
      </c>
      <c r="G21" s="65"/>
      <c r="H21" s="38">
        <v>1927</v>
      </c>
      <c r="I21" s="38">
        <v>68.908000000000001</v>
      </c>
      <c r="N21" s="52">
        <v>2612</v>
      </c>
      <c r="O21" s="53">
        <v>61.161000000000001</v>
      </c>
      <c r="Q21" s="52">
        <v>2462</v>
      </c>
      <c r="R21" s="53">
        <v>63.636000000000003</v>
      </c>
      <c r="T21" s="53">
        <v>3052</v>
      </c>
      <c r="U21" s="53">
        <v>59.878999999999998</v>
      </c>
      <c r="W21" s="53">
        <v>2513</v>
      </c>
      <c r="X21" s="53">
        <v>62.276000000000003</v>
      </c>
      <c r="Z21" s="53">
        <v>2610</v>
      </c>
      <c r="AA21" s="53">
        <v>65.45</v>
      </c>
      <c r="AC21" s="53">
        <v>3442</v>
      </c>
      <c r="AD21" s="53">
        <v>60.259</v>
      </c>
      <c r="AF21" s="53">
        <v>2189</v>
      </c>
      <c r="AG21" s="53">
        <v>63.682000000000002</v>
      </c>
      <c r="AI21" s="53">
        <v>2066</v>
      </c>
      <c r="AJ21" s="53">
        <v>66.230999999999995</v>
      </c>
      <c r="AK21" s="65"/>
      <c r="AL21" s="38">
        <v>3658</v>
      </c>
      <c r="AM21" s="38">
        <v>67.879000000000005</v>
      </c>
      <c r="AO21" s="53">
        <v>2753</v>
      </c>
      <c r="AP21" s="53">
        <v>64.847999999999999</v>
      </c>
      <c r="AR21" s="53">
        <v>2600</v>
      </c>
      <c r="AS21" s="53">
        <v>60.902999999999999</v>
      </c>
      <c r="AU21" s="38">
        <v>3365</v>
      </c>
      <c r="AV21" s="38">
        <v>68.762</v>
      </c>
      <c r="AX21" s="38">
        <v>3170</v>
      </c>
      <c r="AY21" s="38">
        <v>67.867999999999995</v>
      </c>
    </row>
    <row r="22" spans="2:51" x14ac:dyDescent="0.35">
      <c r="B22" s="62"/>
      <c r="C22" s="62"/>
      <c r="E22" s="38">
        <v>2984</v>
      </c>
      <c r="F22" s="38">
        <v>64.846999999999994</v>
      </c>
      <c r="G22" s="65"/>
      <c r="H22" s="38">
        <v>2079</v>
      </c>
      <c r="I22" s="38">
        <v>68.489999999999995</v>
      </c>
      <c r="M22" s="13" t="s">
        <v>234</v>
      </c>
      <c r="N22" s="27">
        <v>2729</v>
      </c>
      <c r="O22" s="15">
        <v>62.581000000000003</v>
      </c>
      <c r="Q22" s="52">
        <v>2657</v>
      </c>
      <c r="R22" s="53">
        <v>63.295999999999999</v>
      </c>
      <c r="T22" s="53">
        <v>3168</v>
      </c>
      <c r="U22" s="53">
        <v>63.337000000000003</v>
      </c>
      <c r="W22" s="53">
        <v>2663</v>
      </c>
      <c r="X22" s="53">
        <v>64.667000000000002</v>
      </c>
      <c r="Z22" s="53">
        <v>2726</v>
      </c>
      <c r="AA22" s="53">
        <v>64.784000000000006</v>
      </c>
      <c r="AB22" s="19" t="s">
        <v>119</v>
      </c>
      <c r="AC22" s="39">
        <v>3525</v>
      </c>
      <c r="AD22" s="39">
        <v>59.037999999999997</v>
      </c>
      <c r="AF22" s="53">
        <v>2321</v>
      </c>
      <c r="AG22" s="53">
        <v>60.774000000000001</v>
      </c>
      <c r="AI22" s="53">
        <v>2277</v>
      </c>
      <c r="AJ22" s="53">
        <v>65.697999999999993</v>
      </c>
      <c r="AK22" s="65"/>
      <c r="AL22" s="38">
        <v>3818</v>
      </c>
      <c r="AM22" s="38">
        <v>68.02</v>
      </c>
      <c r="AN22" s="102" t="s">
        <v>64</v>
      </c>
      <c r="AO22" s="68">
        <v>3031</v>
      </c>
      <c r="AP22" s="68">
        <v>64.516000000000005</v>
      </c>
      <c r="AR22" s="53">
        <v>2705</v>
      </c>
      <c r="AS22" s="53">
        <v>60.250999999999998</v>
      </c>
      <c r="AU22" s="38">
        <v>3486</v>
      </c>
      <c r="AV22" s="38">
        <v>68.578000000000003</v>
      </c>
      <c r="AX22" s="38">
        <v>3365</v>
      </c>
      <c r="AY22" s="38">
        <v>67.563000000000002</v>
      </c>
    </row>
    <row r="23" spans="2:51" x14ac:dyDescent="0.35">
      <c r="E23" s="38">
        <v>3166</v>
      </c>
      <c r="F23" s="38">
        <v>64.203999999999994</v>
      </c>
      <c r="G23" s="65"/>
      <c r="H23" s="38">
        <v>2218</v>
      </c>
      <c r="I23" s="38">
        <v>67.731999999999999</v>
      </c>
      <c r="Q23" s="52">
        <v>2767</v>
      </c>
      <c r="R23" s="53">
        <v>62.779000000000003</v>
      </c>
      <c r="T23" s="53">
        <v>3267</v>
      </c>
      <c r="U23" s="53">
        <v>63.831000000000003</v>
      </c>
      <c r="W23" s="53">
        <v>2969</v>
      </c>
      <c r="X23" s="53">
        <v>61.043999999999997</v>
      </c>
      <c r="Z23" s="53">
        <v>2853</v>
      </c>
      <c r="AA23" s="53">
        <v>65.53</v>
      </c>
      <c r="AC23" s="53">
        <v>3641</v>
      </c>
      <c r="AD23" s="53">
        <v>59.622</v>
      </c>
      <c r="AE23" s="13" t="s">
        <v>119</v>
      </c>
      <c r="AF23" s="15">
        <v>2468</v>
      </c>
      <c r="AG23" s="15">
        <v>60.698999999999998</v>
      </c>
      <c r="AI23" s="53">
        <v>2366</v>
      </c>
      <c r="AJ23" s="53">
        <v>65.872</v>
      </c>
      <c r="AK23" s="65"/>
      <c r="AL23" s="38">
        <v>4016</v>
      </c>
      <c r="AM23" s="38">
        <v>67.037999999999997</v>
      </c>
      <c r="AN23" s="102"/>
      <c r="AO23" s="69">
        <v>3192</v>
      </c>
      <c r="AP23" s="69">
        <v>65.153999999999996</v>
      </c>
      <c r="AR23" s="53">
        <v>2937</v>
      </c>
      <c r="AS23" s="53">
        <v>64.778999999999996</v>
      </c>
      <c r="AU23" s="38">
        <v>3596</v>
      </c>
      <c r="AV23" s="38">
        <v>68.611000000000004</v>
      </c>
      <c r="AX23" s="38">
        <v>3539</v>
      </c>
      <c r="AY23" s="38">
        <v>67.549000000000007</v>
      </c>
    </row>
    <row r="24" spans="2:51" x14ac:dyDescent="0.35">
      <c r="E24" s="38">
        <v>3249</v>
      </c>
      <c r="F24" s="38">
        <v>61.607999999999997</v>
      </c>
      <c r="G24" s="65"/>
      <c r="H24" s="38">
        <v>2321</v>
      </c>
      <c r="I24" s="38">
        <v>67.692999999999998</v>
      </c>
      <c r="P24" s="19" t="s">
        <v>64</v>
      </c>
      <c r="Q24" s="31">
        <v>2826</v>
      </c>
      <c r="R24" s="39">
        <v>60.411999999999999</v>
      </c>
      <c r="T24" s="38">
        <v>3365</v>
      </c>
      <c r="U24" s="53">
        <v>63.728999999999999</v>
      </c>
      <c r="W24" s="53">
        <v>3102</v>
      </c>
      <c r="X24" s="53">
        <v>63.255000000000003</v>
      </c>
      <c r="Z24" s="53">
        <v>2956</v>
      </c>
      <c r="AA24" s="53">
        <v>65.004000000000005</v>
      </c>
      <c r="AC24" s="53">
        <v>3813</v>
      </c>
      <c r="AD24" s="53">
        <v>62.548000000000002</v>
      </c>
      <c r="AF24" s="53">
        <v>2624</v>
      </c>
      <c r="AG24" s="53">
        <v>62.954000000000001</v>
      </c>
      <c r="AI24" s="53">
        <v>2695</v>
      </c>
      <c r="AJ24" s="53">
        <v>62.631</v>
      </c>
      <c r="AK24" s="65"/>
      <c r="AL24" s="38">
        <v>4105</v>
      </c>
      <c r="AM24" s="38">
        <v>67.248000000000005</v>
      </c>
      <c r="AO24" s="53">
        <v>3507</v>
      </c>
      <c r="AP24" s="53">
        <v>66.997</v>
      </c>
      <c r="AR24" s="53">
        <v>3081</v>
      </c>
      <c r="AS24" s="53">
        <v>63.820999999999998</v>
      </c>
      <c r="AU24" s="38">
        <v>3748</v>
      </c>
      <c r="AV24" s="38">
        <v>67.867999999999995</v>
      </c>
      <c r="AX24" s="38">
        <v>3706</v>
      </c>
      <c r="AY24" s="38">
        <v>67.495000000000005</v>
      </c>
    </row>
    <row r="25" spans="2:51" x14ac:dyDescent="0.35">
      <c r="E25" s="38">
        <v>3456</v>
      </c>
      <c r="F25" s="38">
        <v>64.483000000000004</v>
      </c>
      <c r="G25" s="65"/>
      <c r="H25" s="38">
        <v>2592</v>
      </c>
      <c r="I25" s="38">
        <v>67.834000000000003</v>
      </c>
      <c r="Q25" s="52">
        <v>3122</v>
      </c>
      <c r="R25" s="53">
        <v>60.898000000000003</v>
      </c>
      <c r="S25" s="13" t="s">
        <v>296</v>
      </c>
      <c r="T25" s="15">
        <v>3531</v>
      </c>
      <c r="U25" s="15">
        <v>62.616</v>
      </c>
      <c r="W25" s="53">
        <v>3328</v>
      </c>
      <c r="X25" s="53">
        <v>62.226999999999997</v>
      </c>
      <c r="Z25" s="53">
        <v>3117</v>
      </c>
      <c r="AA25" s="53">
        <v>62.636000000000003</v>
      </c>
      <c r="AB25" s="19" t="s">
        <v>234</v>
      </c>
      <c r="AC25" s="39">
        <v>3937</v>
      </c>
      <c r="AD25" s="39">
        <v>64.703000000000003</v>
      </c>
      <c r="AF25" s="53">
        <v>2732</v>
      </c>
      <c r="AG25" s="53">
        <v>60.808999999999997</v>
      </c>
      <c r="AI25" s="53">
        <v>2725</v>
      </c>
      <c r="AJ25" s="53">
        <v>62.328000000000003</v>
      </c>
      <c r="AK25" s="65"/>
      <c r="AL25" s="38">
        <v>4188</v>
      </c>
      <c r="AM25" s="38">
        <v>67.513999999999996</v>
      </c>
      <c r="AO25" s="53">
        <v>3674</v>
      </c>
      <c r="AP25" s="53">
        <v>66.509</v>
      </c>
      <c r="AR25" s="53">
        <v>3200</v>
      </c>
      <c r="AS25" s="53">
        <v>63.667000000000002</v>
      </c>
      <c r="AU25" s="38">
        <v>3943</v>
      </c>
      <c r="AV25" s="38">
        <v>67.563000000000002</v>
      </c>
      <c r="AX25" s="38">
        <v>3897</v>
      </c>
      <c r="AY25" s="38">
        <v>66.572000000000003</v>
      </c>
    </row>
    <row r="26" spans="2:51" x14ac:dyDescent="0.35">
      <c r="E26" s="38">
        <v>3567</v>
      </c>
      <c r="F26" s="38">
        <v>64.144000000000005</v>
      </c>
      <c r="G26" s="19" t="s">
        <v>294</v>
      </c>
      <c r="H26" s="9">
        <v>2630</v>
      </c>
      <c r="I26" s="9">
        <v>67.567999999999998</v>
      </c>
      <c r="Q26" s="52">
        <v>3347</v>
      </c>
      <c r="R26" s="53">
        <v>62.76</v>
      </c>
      <c r="T26" s="38">
        <v>3666</v>
      </c>
      <c r="U26" s="53">
        <v>63.420999999999999</v>
      </c>
      <c r="W26" s="53">
        <v>3464</v>
      </c>
      <c r="X26" s="53">
        <v>64.238</v>
      </c>
      <c r="Z26" s="53">
        <v>3259</v>
      </c>
      <c r="AA26" s="53">
        <v>63.975000000000001</v>
      </c>
      <c r="AE26" s="13" t="s">
        <v>234</v>
      </c>
      <c r="AF26" s="15">
        <v>2818</v>
      </c>
      <c r="AG26" s="15">
        <v>62.581000000000003</v>
      </c>
      <c r="AI26" s="53">
        <v>2858</v>
      </c>
      <c r="AJ26" s="53">
        <v>61.465000000000003</v>
      </c>
      <c r="AK26" s="65"/>
      <c r="AL26" s="38">
        <v>4319</v>
      </c>
      <c r="AM26" s="38">
        <v>66.753</v>
      </c>
      <c r="AO26" s="53">
        <v>3810</v>
      </c>
      <c r="AP26" s="53">
        <v>64.534999999999997</v>
      </c>
      <c r="AR26" s="53">
        <v>3317</v>
      </c>
      <c r="AS26" s="53">
        <v>63.156999999999996</v>
      </c>
      <c r="AU26" s="38">
        <v>4117</v>
      </c>
      <c r="AV26" s="38">
        <v>67.549000000000007</v>
      </c>
      <c r="AX26" s="38">
        <v>4071</v>
      </c>
      <c r="AY26" s="38">
        <v>65.778000000000006</v>
      </c>
    </row>
    <row r="27" spans="2:51" x14ac:dyDescent="0.35">
      <c r="E27" s="38">
        <v>3743</v>
      </c>
      <c r="F27" s="38">
        <v>63.874000000000002</v>
      </c>
      <c r="G27" s="65"/>
      <c r="H27" s="38">
        <v>2772</v>
      </c>
      <c r="I27" s="38">
        <v>69.709000000000003</v>
      </c>
      <c r="Q27" s="52">
        <v>3451</v>
      </c>
      <c r="R27" s="53">
        <v>62.731999999999999</v>
      </c>
      <c r="T27" s="38">
        <v>3817</v>
      </c>
      <c r="U27" s="53">
        <v>61.662999999999997</v>
      </c>
      <c r="W27" s="53">
        <v>3619</v>
      </c>
      <c r="X27" s="53">
        <v>64.397000000000006</v>
      </c>
      <c r="Z27" s="53">
        <v>3337</v>
      </c>
      <c r="AA27" s="53">
        <v>65.787000000000006</v>
      </c>
      <c r="AI27" s="53">
        <v>2954</v>
      </c>
      <c r="AJ27" s="53">
        <v>60.518000000000001</v>
      </c>
      <c r="AK27" s="65"/>
      <c r="AL27" s="38">
        <v>4386</v>
      </c>
      <c r="AM27" s="38">
        <v>66.733999999999995</v>
      </c>
      <c r="AO27" s="53">
        <v>3877</v>
      </c>
      <c r="AP27" s="53">
        <v>65.22</v>
      </c>
      <c r="AR27" s="53">
        <v>3459</v>
      </c>
      <c r="AS27" s="53">
        <v>63.633000000000003</v>
      </c>
      <c r="AU27" s="38">
        <v>4284</v>
      </c>
      <c r="AV27" s="38">
        <v>67.495000000000005</v>
      </c>
      <c r="AW27" s="13" t="s">
        <v>119</v>
      </c>
      <c r="AX27" s="15">
        <v>4240</v>
      </c>
      <c r="AY27" s="15">
        <v>63.921999999999997</v>
      </c>
    </row>
    <row r="28" spans="2:51" x14ac:dyDescent="0.35">
      <c r="E28" s="38">
        <v>3930</v>
      </c>
      <c r="F28" s="38">
        <v>63.671999999999997</v>
      </c>
      <c r="G28" s="65"/>
      <c r="H28" s="38">
        <v>3091</v>
      </c>
      <c r="I28" s="38">
        <v>67.483999999999995</v>
      </c>
      <c r="P28" s="19" t="s">
        <v>234</v>
      </c>
      <c r="Q28" s="31">
        <v>3517</v>
      </c>
      <c r="R28" s="39">
        <v>62.581000000000003</v>
      </c>
      <c r="T28" s="38">
        <v>3958</v>
      </c>
      <c r="U28" s="53">
        <v>61.267000000000003</v>
      </c>
      <c r="W28" s="53">
        <v>3700</v>
      </c>
      <c r="X28" s="53">
        <v>64.671999999999997</v>
      </c>
      <c r="Z28" s="53">
        <v>3468</v>
      </c>
      <c r="AA28" s="53">
        <v>65.367999999999995</v>
      </c>
      <c r="AH28" s="19" t="s">
        <v>119</v>
      </c>
      <c r="AI28" s="39">
        <v>3075</v>
      </c>
      <c r="AJ28" s="39">
        <v>59.341999999999999</v>
      </c>
      <c r="AK28" s="65"/>
      <c r="AL28" s="38">
        <v>4495</v>
      </c>
      <c r="AM28" s="38">
        <v>65.587000000000003</v>
      </c>
      <c r="AN28" s="19" t="s">
        <v>119</v>
      </c>
      <c r="AO28" s="39">
        <v>4027</v>
      </c>
      <c r="AP28" s="39">
        <v>61.695999999999998</v>
      </c>
      <c r="AR28" s="53">
        <v>3590</v>
      </c>
      <c r="AS28" s="53">
        <v>63.673000000000002</v>
      </c>
      <c r="AU28" s="38">
        <v>4475</v>
      </c>
      <c r="AV28" s="38">
        <v>66.572000000000003</v>
      </c>
      <c r="AX28" s="38">
        <v>4365</v>
      </c>
      <c r="AY28" s="38">
        <v>67.378</v>
      </c>
    </row>
    <row r="29" spans="2:51" x14ac:dyDescent="0.35">
      <c r="E29" s="38">
        <v>4131</v>
      </c>
      <c r="F29" s="38">
        <v>63.628</v>
      </c>
      <c r="G29" s="65"/>
      <c r="H29" s="38">
        <v>3181</v>
      </c>
      <c r="I29" s="38">
        <v>67.313999999999993</v>
      </c>
      <c r="T29" s="38">
        <v>4058</v>
      </c>
      <c r="U29" s="53">
        <v>61.271000000000001</v>
      </c>
      <c r="W29" s="53">
        <v>3807</v>
      </c>
      <c r="X29" s="53">
        <v>65.042000000000002</v>
      </c>
      <c r="Z29" s="53">
        <v>3522</v>
      </c>
      <c r="AA29" s="53">
        <v>64.956999999999994</v>
      </c>
      <c r="AI29" s="53">
        <v>3144</v>
      </c>
      <c r="AJ29" s="53">
        <v>60.125</v>
      </c>
      <c r="AK29" s="65"/>
      <c r="AL29" s="38">
        <v>4742</v>
      </c>
      <c r="AM29" s="38">
        <v>65.438000000000002</v>
      </c>
      <c r="AO29" s="53">
        <v>4214</v>
      </c>
      <c r="AP29" s="53">
        <v>65.186999999999998</v>
      </c>
      <c r="AR29" s="53">
        <v>3674</v>
      </c>
      <c r="AS29" s="53">
        <v>63.244999999999997</v>
      </c>
      <c r="AU29" s="38">
        <v>4649</v>
      </c>
      <c r="AV29" s="38">
        <v>65.778000000000006</v>
      </c>
      <c r="AX29" s="38">
        <v>4480</v>
      </c>
      <c r="AY29" s="38">
        <v>67.028999999999996</v>
      </c>
    </row>
    <row r="30" spans="2:51" x14ac:dyDescent="0.35">
      <c r="E30" s="38">
        <v>4394</v>
      </c>
      <c r="F30" s="38">
        <v>63.008000000000003</v>
      </c>
      <c r="G30" s="65"/>
      <c r="H30" s="38">
        <v>3314</v>
      </c>
      <c r="I30" s="38">
        <v>67.298000000000002</v>
      </c>
      <c r="S30" s="13" t="s">
        <v>234</v>
      </c>
      <c r="T30" s="15">
        <v>4192</v>
      </c>
      <c r="U30" s="15">
        <v>62.581000000000003</v>
      </c>
      <c r="W30" s="53">
        <v>4135</v>
      </c>
      <c r="X30" s="53">
        <v>63.253</v>
      </c>
      <c r="Z30" s="53">
        <v>3593</v>
      </c>
      <c r="AA30" s="53">
        <v>64.055000000000007</v>
      </c>
      <c r="AI30" s="53">
        <v>3285</v>
      </c>
      <c r="AJ30" s="53">
        <v>62.99</v>
      </c>
      <c r="AK30" s="65"/>
      <c r="AL30" s="38">
        <v>4868</v>
      </c>
      <c r="AM30" s="38">
        <v>65.430999999999997</v>
      </c>
      <c r="AO30" s="53">
        <v>4339</v>
      </c>
      <c r="AP30" s="53">
        <v>64.147000000000006</v>
      </c>
      <c r="AR30" s="53">
        <v>3777</v>
      </c>
      <c r="AS30" s="53">
        <v>63.534999999999997</v>
      </c>
      <c r="AU30" s="38">
        <v>4818</v>
      </c>
      <c r="AV30" s="38">
        <v>63.921999999999997</v>
      </c>
      <c r="AX30" s="38">
        <v>4612</v>
      </c>
      <c r="AY30" s="38">
        <v>67.554000000000002</v>
      </c>
    </row>
    <row r="31" spans="2:51" x14ac:dyDescent="0.35">
      <c r="E31" s="38">
        <v>4718</v>
      </c>
      <c r="F31" s="38">
        <v>63.295999999999999</v>
      </c>
      <c r="G31" s="65"/>
      <c r="H31" s="38">
        <v>3579</v>
      </c>
      <c r="I31" s="38">
        <v>67.42</v>
      </c>
      <c r="W31" s="53">
        <v>4308</v>
      </c>
      <c r="X31" s="53">
        <v>62.121000000000002</v>
      </c>
      <c r="Z31" s="53">
        <v>3656</v>
      </c>
      <c r="AA31" s="53">
        <v>63.753999999999998</v>
      </c>
      <c r="AH31" s="19" t="s">
        <v>234</v>
      </c>
      <c r="AI31" s="39">
        <v>3421</v>
      </c>
      <c r="AJ31" s="39">
        <v>64.703000000000003</v>
      </c>
      <c r="AK31" s="65"/>
      <c r="AL31" s="38">
        <v>4974</v>
      </c>
      <c r="AM31" s="38">
        <v>64.739999999999995</v>
      </c>
      <c r="AO31" s="53">
        <v>4406</v>
      </c>
      <c r="AP31" s="53">
        <v>64.483000000000004</v>
      </c>
      <c r="AR31" s="53">
        <v>3859</v>
      </c>
      <c r="AS31" s="53">
        <v>63.920999999999999</v>
      </c>
      <c r="AU31" s="38">
        <v>4943</v>
      </c>
      <c r="AV31" s="38">
        <v>67.378</v>
      </c>
      <c r="AX31" s="38">
        <v>4803</v>
      </c>
      <c r="AY31" s="38">
        <v>66.106999999999999</v>
      </c>
    </row>
    <row r="32" spans="2:51" x14ac:dyDescent="0.35">
      <c r="D32" s="13" t="s">
        <v>64</v>
      </c>
      <c r="E32" s="15">
        <v>4882</v>
      </c>
      <c r="F32" s="15">
        <v>59.83</v>
      </c>
      <c r="G32" s="65"/>
      <c r="H32" s="38">
        <v>3771</v>
      </c>
      <c r="I32" s="38">
        <v>67.879000000000005</v>
      </c>
      <c r="W32" s="53">
        <v>4505</v>
      </c>
      <c r="X32" s="53">
        <v>60.877000000000002</v>
      </c>
      <c r="Z32" s="53">
        <v>3726</v>
      </c>
      <c r="AA32" s="53">
        <v>64.561000000000007</v>
      </c>
      <c r="AK32" s="65"/>
      <c r="AL32" s="38">
        <v>5083</v>
      </c>
      <c r="AM32" s="38">
        <v>65.414000000000001</v>
      </c>
      <c r="AO32" s="53">
        <v>4593</v>
      </c>
      <c r="AP32" s="53">
        <v>64.912000000000006</v>
      </c>
      <c r="AR32" s="53">
        <v>4066</v>
      </c>
      <c r="AS32" s="53">
        <v>63.347000000000001</v>
      </c>
      <c r="AU32" s="38">
        <v>5058</v>
      </c>
      <c r="AV32" s="38">
        <v>67.028999999999996</v>
      </c>
      <c r="AX32" s="38">
        <v>4957</v>
      </c>
      <c r="AY32" s="38">
        <v>64.882000000000005</v>
      </c>
    </row>
    <row r="33" spans="4:51" x14ac:dyDescent="0.35">
      <c r="E33" s="38">
        <v>4981</v>
      </c>
      <c r="F33" s="38">
        <v>62.564999999999998</v>
      </c>
      <c r="G33" s="65"/>
      <c r="H33" s="38">
        <v>3931</v>
      </c>
      <c r="I33" s="38">
        <v>68.02</v>
      </c>
      <c r="V33" s="19" t="s">
        <v>297</v>
      </c>
      <c r="W33" s="9">
        <v>4807</v>
      </c>
      <c r="X33" s="9">
        <v>62.143999999999998</v>
      </c>
      <c r="Z33" s="53">
        <v>3836</v>
      </c>
      <c r="AA33" s="53">
        <v>66.45</v>
      </c>
      <c r="AL33" s="38">
        <v>5333</v>
      </c>
      <c r="AM33" s="38">
        <v>65.846999999999994</v>
      </c>
      <c r="AO33" s="53">
        <v>4746</v>
      </c>
      <c r="AP33" s="53">
        <v>64.290000000000006</v>
      </c>
      <c r="AR33" s="53">
        <v>4223</v>
      </c>
      <c r="AS33" s="53">
        <v>63.749000000000002</v>
      </c>
      <c r="AU33" s="38">
        <v>5190</v>
      </c>
      <c r="AV33" s="38">
        <v>67.554000000000002</v>
      </c>
      <c r="AX33" s="38">
        <v>5097</v>
      </c>
      <c r="AY33" s="38">
        <v>64.768000000000001</v>
      </c>
    </row>
    <row r="34" spans="4:51" x14ac:dyDescent="0.35">
      <c r="E34" s="38">
        <v>5093</v>
      </c>
      <c r="F34" s="38">
        <v>63.427</v>
      </c>
      <c r="G34" s="65"/>
      <c r="H34" s="38">
        <v>4129</v>
      </c>
      <c r="I34" s="38">
        <v>67.037999999999997</v>
      </c>
      <c r="W34" s="53">
        <v>4904</v>
      </c>
      <c r="X34" s="53">
        <v>59.396000000000001</v>
      </c>
      <c r="Z34" s="53">
        <v>3895</v>
      </c>
      <c r="AA34" s="53">
        <v>66.09</v>
      </c>
      <c r="AL34" s="38">
        <v>5485</v>
      </c>
      <c r="AM34" s="38">
        <v>65.634</v>
      </c>
      <c r="AO34" s="53">
        <v>4810</v>
      </c>
      <c r="AP34" s="53">
        <v>64.155000000000001</v>
      </c>
      <c r="AQ34" s="13" t="s">
        <v>300</v>
      </c>
      <c r="AR34" s="40">
        <v>4325</v>
      </c>
      <c r="AS34" s="40">
        <v>62.616</v>
      </c>
      <c r="AU34" s="38">
        <v>5381</v>
      </c>
      <c r="AV34" s="38">
        <v>66.106999999999999</v>
      </c>
      <c r="AX34" s="38">
        <v>5186</v>
      </c>
      <c r="AY34" s="38">
        <v>64.346999999999994</v>
      </c>
    </row>
    <row r="35" spans="4:51" x14ac:dyDescent="0.35">
      <c r="E35" s="38">
        <v>5305</v>
      </c>
      <c r="F35" s="38">
        <v>62.91</v>
      </c>
      <c r="G35" s="65"/>
      <c r="H35" s="38">
        <v>4218</v>
      </c>
      <c r="I35" s="38">
        <v>67.248000000000005</v>
      </c>
      <c r="W35" s="53">
        <v>5221</v>
      </c>
      <c r="X35" s="53">
        <v>64.19</v>
      </c>
      <c r="Z35" s="53">
        <v>4005</v>
      </c>
      <c r="AA35" s="53">
        <v>64.813999999999993</v>
      </c>
      <c r="AL35" s="38">
        <v>5592</v>
      </c>
      <c r="AM35" s="38">
        <v>65.73</v>
      </c>
      <c r="AO35" s="53">
        <v>4844</v>
      </c>
      <c r="AP35" s="53">
        <v>62.767000000000003</v>
      </c>
      <c r="AR35" s="38">
        <f>T26-$T$25+$AR$34</f>
        <v>4460</v>
      </c>
      <c r="AS35" s="53">
        <v>63.420999999999999</v>
      </c>
      <c r="AU35" s="38">
        <v>5535</v>
      </c>
      <c r="AV35" s="38">
        <v>64.882000000000005</v>
      </c>
      <c r="AW35" s="13" t="s">
        <v>119</v>
      </c>
      <c r="AX35" s="15">
        <v>5273</v>
      </c>
      <c r="AY35" s="15">
        <v>61.963000000000001</v>
      </c>
    </row>
    <row r="36" spans="4:51" x14ac:dyDescent="0.35">
      <c r="E36" s="38">
        <v>5481</v>
      </c>
      <c r="F36" s="38">
        <v>63.372</v>
      </c>
      <c r="G36" s="65"/>
      <c r="H36" s="38">
        <v>4301</v>
      </c>
      <c r="I36" s="38">
        <v>67.513999999999996</v>
      </c>
      <c r="V36" s="19" t="s">
        <v>298</v>
      </c>
      <c r="W36" s="9">
        <v>5534</v>
      </c>
      <c r="X36" s="9">
        <v>60.463999999999999</v>
      </c>
      <c r="Z36" s="53">
        <v>4210</v>
      </c>
      <c r="AA36" s="53">
        <v>64.433999999999997</v>
      </c>
      <c r="AL36" s="38">
        <v>5818</v>
      </c>
      <c r="AM36" s="38">
        <v>63.718000000000004</v>
      </c>
      <c r="AO36" s="53">
        <v>4928</v>
      </c>
      <c r="AP36" s="53">
        <v>60.136000000000003</v>
      </c>
      <c r="AR36" s="38">
        <f>T27-$T$25+$AR$34</f>
        <v>4611</v>
      </c>
      <c r="AS36" s="53">
        <v>61.662999999999997</v>
      </c>
      <c r="AU36" s="38">
        <v>5675</v>
      </c>
      <c r="AV36" s="38">
        <v>64.768000000000001</v>
      </c>
      <c r="AX36" s="38">
        <v>5388</v>
      </c>
      <c r="AY36" s="38">
        <v>65.328999999999994</v>
      </c>
    </row>
    <row r="37" spans="4:51" x14ac:dyDescent="0.35">
      <c r="D37" s="13" t="s">
        <v>234</v>
      </c>
      <c r="E37" s="15">
        <v>5540</v>
      </c>
      <c r="F37" s="15">
        <v>62.581000000000003</v>
      </c>
      <c r="G37" s="65"/>
      <c r="H37" s="38">
        <v>4432</v>
      </c>
      <c r="I37" s="38">
        <v>66.753</v>
      </c>
      <c r="V37" s="19" t="s">
        <v>119</v>
      </c>
      <c r="W37" s="9">
        <v>5591</v>
      </c>
      <c r="X37" s="9">
        <v>60.404000000000003</v>
      </c>
      <c r="Z37" s="53">
        <v>4275</v>
      </c>
      <c r="AA37" s="53">
        <v>64.849999999999994</v>
      </c>
      <c r="AK37" s="13" t="s">
        <v>64</v>
      </c>
      <c r="AL37" s="15">
        <v>6220</v>
      </c>
      <c r="AM37" s="40">
        <v>59.247</v>
      </c>
      <c r="AO37" s="53">
        <v>5061</v>
      </c>
      <c r="AP37" s="53">
        <v>63.982999999999997</v>
      </c>
      <c r="AR37" s="38">
        <f>T28-$T$25+$AR$34</f>
        <v>4752</v>
      </c>
      <c r="AS37" s="53">
        <v>61.267000000000003</v>
      </c>
      <c r="AU37" s="38">
        <v>5764</v>
      </c>
      <c r="AV37" s="38">
        <v>64.346999999999994</v>
      </c>
      <c r="AX37" s="38">
        <v>5448</v>
      </c>
      <c r="AY37" s="38">
        <v>65.003</v>
      </c>
    </row>
    <row r="38" spans="4:51" x14ac:dyDescent="0.35">
      <c r="G38" s="65"/>
      <c r="H38" s="38">
        <v>4499</v>
      </c>
      <c r="I38" s="38">
        <v>66.733999999999995</v>
      </c>
      <c r="W38" s="53">
        <v>5856</v>
      </c>
      <c r="X38" s="53">
        <v>59.753999999999998</v>
      </c>
      <c r="Z38" s="53">
        <v>4374</v>
      </c>
      <c r="AA38" s="53">
        <v>64.266999999999996</v>
      </c>
      <c r="AK38" s="13" t="s">
        <v>234</v>
      </c>
      <c r="AL38" s="15">
        <v>6558</v>
      </c>
      <c r="AM38" s="40">
        <v>63.154000000000003</v>
      </c>
      <c r="AO38" s="53">
        <v>5262</v>
      </c>
      <c r="AP38" s="53">
        <v>64.533000000000001</v>
      </c>
      <c r="AR38" s="38">
        <f>T29-$T$25+$AR$34</f>
        <v>4852</v>
      </c>
      <c r="AS38" s="53">
        <v>61.271000000000001</v>
      </c>
      <c r="AU38" s="38">
        <v>5851</v>
      </c>
      <c r="AV38" s="38">
        <v>61.963000000000001</v>
      </c>
      <c r="AX38" s="38">
        <v>5509</v>
      </c>
      <c r="AY38" s="38">
        <v>64.688999999999993</v>
      </c>
    </row>
    <row r="39" spans="4:51" x14ac:dyDescent="0.35">
      <c r="G39" s="65"/>
      <c r="H39" s="38">
        <v>4608</v>
      </c>
      <c r="I39" s="38">
        <v>65.587000000000003</v>
      </c>
      <c r="W39" s="53">
        <v>5978</v>
      </c>
      <c r="X39" s="53">
        <v>61.243000000000002</v>
      </c>
      <c r="Z39" s="53">
        <v>4679</v>
      </c>
      <c r="AA39" s="53">
        <v>61.945</v>
      </c>
      <c r="AK39" t="s">
        <v>302</v>
      </c>
      <c r="AO39" s="53">
        <v>3448</v>
      </c>
      <c r="AP39" s="53">
        <v>63.588999999999999</v>
      </c>
      <c r="AQ39" s="13" t="s">
        <v>234</v>
      </c>
      <c r="AR39" s="40">
        <f>T30-$T$25+$AR$34</f>
        <v>4986</v>
      </c>
      <c r="AS39" s="40">
        <v>62.581000000000003</v>
      </c>
      <c r="AU39" s="38">
        <v>5966</v>
      </c>
      <c r="AV39" s="38">
        <v>65.328999999999994</v>
      </c>
      <c r="AX39" s="38">
        <v>5573</v>
      </c>
      <c r="AY39" s="38">
        <v>64.558000000000007</v>
      </c>
    </row>
    <row r="40" spans="4:51" x14ac:dyDescent="0.35">
      <c r="G40" s="65"/>
      <c r="H40" s="38">
        <v>4855</v>
      </c>
      <c r="I40" s="38">
        <v>65.438000000000002</v>
      </c>
      <c r="W40" s="53">
        <v>6220</v>
      </c>
      <c r="X40" s="53">
        <v>58.856000000000002</v>
      </c>
      <c r="Z40" s="53">
        <v>4777</v>
      </c>
      <c r="AA40" s="53">
        <v>61.598999999999997</v>
      </c>
      <c r="AO40" s="53">
        <v>5644</v>
      </c>
      <c r="AP40" s="53">
        <v>63.816000000000003</v>
      </c>
      <c r="AR40" s="66"/>
      <c r="AU40" s="38">
        <v>6026</v>
      </c>
      <c r="AV40" s="38">
        <v>65.003</v>
      </c>
      <c r="AX40" s="38">
        <v>5747</v>
      </c>
      <c r="AY40" s="38">
        <v>64.838999999999999</v>
      </c>
    </row>
    <row r="41" spans="4:51" x14ac:dyDescent="0.35">
      <c r="G41" s="65"/>
      <c r="H41" s="38">
        <v>4981</v>
      </c>
      <c r="I41" s="38">
        <v>65.430999999999997</v>
      </c>
      <c r="V41" s="19" t="s">
        <v>234</v>
      </c>
      <c r="W41" s="9">
        <v>6325</v>
      </c>
      <c r="X41" s="9">
        <v>62.581000000000003</v>
      </c>
      <c r="Z41" s="53">
        <v>4887</v>
      </c>
      <c r="AA41" s="53">
        <v>60.537999999999997</v>
      </c>
      <c r="AO41" s="53">
        <v>5832</v>
      </c>
      <c r="AP41" s="53">
        <v>63.542000000000002</v>
      </c>
      <c r="AR41" s="65"/>
      <c r="AU41" s="38">
        <v>6087</v>
      </c>
      <c r="AV41" s="38">
        <v>64.688999999999993</v>
      </c>
      <c r="AX41" s="38">
        <v>5904</v>
      </c>
      <c r="AY41" s="38">
        <v>64.057000000000002</v>
      </c>
    </row>
    <row r="42" spans="4:51" x14ac:dyDescent="0.35">
      <c r="G42" s="65"/>
      <c r="H42" s="38">
        <v>5087</v>
      </c>
      <c r="I42" s="38">
        <v>64.739999999999995</v>
      </c>
      <c r="Z42" s="53">
        <v>5073</v>
      </c>
      <c r="AA42" s="53">
        <v>60.348999999999997</v>
      </c>
      <c r="AO42" s="53">
        <v>6010</v>
      </c>
      <c r="AP42" s="53">
        <v>63.045999999999999</v>
      </c>
      <c r="AU42" s="38">
        <v>6151</v>
      </c>
      <c r="AV42" s="38">
        <v>64.558000000000007</v>
      </c>
      <c r="AX42" s="38">
        <v>5966</v>
      </c>
      <c r="AY42" s="38">
        <v>64.56</v>
      </c>
    </row>
    <row r="43" spans="4:51" x14ac:dyDescent="0.35">
      <c r="G43" s="65"/>
      <c r="H43" s="38">
        <v>5196</v>
      </c>
      <c r="I43" s="38">
        <v>65.414000000000001</v>
      </c>
      <c r="Z43" s="53">
        <v>5129</v>
      </c>
      <c r="AA43" s="53">
        <v>62.011000000000003</v>
      </c>
      <c r="AO43" s="53">
        <v>6208</v>
      </c>
      <c r="AP43" s="53">
        <v>63.749000000000002</v>
      </c>
      <c r="AU43" s="38">
        <v>6325</v>
      </c>
      <c r="AV43" s="38">
        <v>64.838999999999999</v>
      </c>
      <c r="AX43" s="38">
        <v>6022</v>
      </c>
      <c r="AY43" s="38">
        <v>62.869</v>
      </c>
    </row>
    <row r="44" spans="4:51" x14ac:dyDescent="0.35">
      <c r="G44" s="65"/>
      <c r="H44" s="38">
        <v>5446</v>
      </c>
      <c r="I44" s="38">
        <v>65.846999999999994</v>
      </c>
      <c r="Z44" s="53">
        <v>5204</v>
      </c>
      <c r="AA44" s="53">
        <v>62.99</v>
      </c>
      <c r="AO44" s="53">
        <v>6409</v>
      </c>
      <c r="AP44" s="53">
        <v>63.725000000000001</v>
      </c>
      <c r="AU44" s="38">
        <v>6482</v>
      </c>
      <c r="AV44" s="38">
        <v>64.057000000000002</v>
      </c>
      <c r="AX44" s="38">
        <v>6136</v>
      </c>
      <c r="AY44" s="38">
        <v>59.628999999999998</v>
      </c>
    </row>
    <row r="45" spans="4:51" x14ac:dyDescent="0.35">
      <c r="G45" s="65"/>
      <c r="H45" s="38">
        <v>5598</v>
      </c>
      <c r="I45" s="38">
        <v>65.634</v>
      </c>
      <c r="Y45" s="13" t="s">
        <v>234</v>
      </c>
      <c r="Z45" s="40">
        <v>5329</v>
      </c>
      <c r="AA45" s="40">
        <v>64.703000000000003</v>
      </c>
      <c r="AN45" s="19" t="s">
        <v>299</v>
      </c>
      <c r="AO45" s="39">
        <v>6615</v>
      </c>
      <c r="AP45" s="39">
        <v>60.463999999999999</v>
      </c>
      <c r="AU45" s="38">
        <v>6544</v>
      </c>
      <c r="AV45" s="38">
        <v>64.56</v>
      </c>
      <c r="AX45" s="38">
        <v>6244</v>
      </c>
      <c r="AY45" s="38">
        <v>64.111000000000004</v>
      </c>
    </row>
    <row r="46" spans="4:51" x14ac:dyDescent="0.35">
      <c r="G46" s="65"/>
      <c r="H46" s="38">
        <v>5705</v>
      </c>
      <c r="I46" s="38">
        <v>65.73</v>
      </c>
      <c r="AN46" s="19" t="s">
        <v>119</v>
      </c>
      <c r="AO46" s="39">
        <f>W37-$W$36+$AO$45</f>
        <v>6672</v>
      </c>
      <c r="AP46" s="39">
        <v>60.404000000000003</v>
      </c>
      <c r="AU46" s="38">
        <v>6600</v>
      </c>
      <c r="AV46" s="38">
        <v>62.869</v>
      </c>
      <c r="AX46" s="38">
        <v>6482</v>
      </c>
      <c r="AY46" s="38">
        <v>64.057000000000002</v>
      </c>
    </row>
    <row r="47" spans="4:51" x14ac:dyDescent="0.35">
      <c r="G47" s="65"/>
      <c r="H47" s="38">
        <v>5931</v>
      </c>
      <c r="I47" s="38">
        <v>63.718000000000004</v>
      </c>
      <c r="AO47" s="38">
        <f>W38-$W$36+$AO$45</f>
        <v>6937</v>
      </c>
      <c r="AP47" s="53">
        <v>59.753999999999998</v>
      </c>
      <c r="AU47" s="38">
        <v>6714</v>
      </c>
      <c r="AV47" s="38">
        <v>59.628999999999998</v>
      </c>
      <c r="AX47" s="38">
        <v>6655</v>
      </c>
      <c r="AY47" s="38">
        <v>63.661000000000001</v>
      </c>
    </row>
    <row r="48" spans="4:51" x14ac:dyDescent="0.35">
      <c r="G48" s="19" t="s">
        <v>64</v>
      </c>
      <c r="H48" s="9">
        <v>6333</v>
      </c>
      <c r="I48" s="9">
        <v>59.247</v>
      </c>
      <c r="AO48" s="38">
        <f>W39-$W$36+$AO$45</f>
        <v>7059</v>
      </c>
      <c r="AP48" s="53">
        <v>61.243000000000002</v>
      </c>
      <c r="AU48" s="38">
        <v>6822</v>
      </c>
      <c r="AV48" s="38">
        <v>64.111000000000004</v>
      </c>
      <c r="AX48" s="38">
        <v>6829</v>
      </c>
      <c r="AY48" s="38">
        <v>63.582999999999998</v>
      </c>
    </row>
    <row r="49" spans="7:51" x14ac:dyDescent="0.35">
      <c r="G49" s="19" t="s">
        <v>234</v>
      </c>
      <c r="H49" s="9">
        <v>6671</v>
      </c>
      <c r="I49" s="9">
        <v>63.154000000000003</v>
      </c>
      <c r="AO49" s="38">
        <f>W40-$W$36+$AO$45</f>
        <v>7301</v>
      </c>
      <c r="AP49" s="53">
        <v>58.856000000000002</v>
      </c>
      <c r="AU49" s="38">
        <v>7060</v>
      </c>
      <c r="AV49" s="38">
        <v>64.057000000000002</v>
      </c>
      <c r="AX49" s="38">
        <v>6888</v>
      </c>
      <c r="AY49" s="38">
        <v>63.994</v>
      </c>
    </row>
    <row r="50" spans="7:51" x14ac:dyDescent="0.35">
      <c r="G50" t="s">
        <v>301</v>
      </c>
      <c r="AN50" s="19" t="s">
        <v>234</v>
      </c>
      <c r="AO50" s="39">
        <f>W41-$W$36+$AO$45</f>
        <v>7406</v>
      </c>
      <c r="AP50" s="39">
        <v>62.581000000000003</v>
      </c>
      <c r="AU50" s="38">
        <v>7233</v>
      </c>
      <c r="AV50" s="38">
        <v>63.661000000000001</v>
      </c>
      <c r="AX50" s="38">
        <v>6953</v>
      </c>
      <c r="AY50" s="38">
        <v>63.877000000000002</v>
      </c>
    </row>
    <row r="51" spans="7:51" x14ac:dyDescent="0.35">
      <c r="AO51" s="66"/>
      <c r="AU51" s="38">
        <v>7407</v>
      </c>
      <c r="AV51" s="38">
        <v>63.582999999999998</v>
      </c>
      <c r="AX51" s="38">
        <v>7017</v>
      </c>
      <c r="AY51" s="38">
        <v>63.692999999999998</v>
      </c>
    </row>
    <row r="52" spans="7:51" x14ac:dyDescent="0.35">
      <c r="AO52" s="66"/>
      <c r="AU52" s="38">
        <v>7466</v>
      </c>
      <c r="AV52" s="38">
        <v>63.994</v>
      </c>
      <c r="AX52" s="38">
        <v>7191</v>
      </c>
      <c r="AY52" s="38">
        <v>63.191000000000003</v>
      </c>
    </row>
    <row r="53" spans="7:51" x14ac:dyDescent="0.35">
      <c r="AO53" s="66"/>
      <c r="AU53" s="38">
        <v>7531</v>
      </c>
      <c r="AV53" s="38">
        <v>63.877000000000002</v>
      </c>
      <c r="AX53" s="38">
        <v>7311</v>
      </c>
      <c r="AY53" s="38">
        <v>64.001999999999995</v>
      </c>
    </row>
    <row r="54" spans="7:51" x14ac:dyDescent="0.35">
      <c r="AO54" s="66"/>
      <c r="AU54" s="38">
        <v>7595</v>
      </c>
      <c r="AV54" s="38">
        <v>63.692999999999998</v>
      </c>
      <c r="AX54" s="38">
        <v>7429</v>
      </c>
      <c r="AY54" s="38">
        <v>63.521999999999998</v>
      </c>
    </row>
    <row r="55" spans="7:51" x14ac:dyDescent="0.35">
      <c r="AU55" s="38">
        <v>7769</v>
      </c>
      <c r="AV55" s="38">
        <v>63.191000000000003</v>
      </c>
      <c r="AX55" s="38">
        <v>7613</v>
      </c>
      <c r="AY55" s="38">
        <v>63.601999999999997</v>
      </c>
    </row>
    <row r="56" spans="7:51" x14ac:dyDescent="0.35">
      <c r="AU56" s="38">
        <v>7889</v>
      </c>
      <c r="AV56" s="38">
        <v>64.001999999999995</v>
      </c>
      <c r="AX56" s="38">
        <v>7735</v>
      </c>
      <c r="AY56" s="38">
        <v>62.320999999999998</v>
      </c>
    </row>
    <row r="57" spans="7:51" x14ac:dyDescent="0.35">
      <c r="AU57" s="38">
        <v>8007</v>
      </c>
      <c r="AV57" s="38">
        <v>63.521999999999998</v>
      </c>
      <c r="AW57" s="13" t="s">
        <v>119</v>
      </c>
      <c r="AX57" s="15">
        <v>7868</v>
      </c>
      <c r="AY57" s="15">
        <v>60.404000000000003</v>
      </c>
    </row>
    <row r="58" spans="7:51" x14ac:dyDescent="0.35">
      <c r="AU58" s="38">
        <v>8191</v>
      </c>
      <c r="AV58" s="38">
        <v>63.601999999999997</v>
      </c>
      <c r="AX58" s="38">
        <v>8000</v>
      </c>
      <c r="AY58" s="38">
        <v>63.231000000000002</v>
      </c>
    </row>
    <row r="59" spans="7:51" x14ac:dyDescent="0.35">
      <c r="AU59" s="38">
        <v>8313</v>
      </c>
      <c r="AV59" s="38">
        <v>62.320999999999998</v>
      </c>
      <c r="AX59" s="38">
        <v>8130</v>
      </c>
      <c r="AY59" s="38">
        <v>59.753999999999998</v>
      </c>
    </row>
    <row r="60" spans="7:51" x14ac:dyDescent="0.35">
      <c r="AU60" s="38">
        <v>8446</v>
      </c>
      <c r="AV60" s="38">
        <v>60.404000000000003</v>
      </c>
      <c r="AX60" s="38">
        <v>8314</v>
      </c>
      <c r="AY60" s="38">
        <v>63.064</v>
      </c>
    </row>
    <row r="61" spans="7:51" x14ac:dyDescent="0.35">
      <c r="AU61" s="38">
        <v>8578</v>
      </c>
      <c r="AV61" s="38">
        <v>63.231000000000002</v>
      </c>
      <c r="AX61" s="38">
        <v>8547</v>
      </c>
      <c r="AY61" s="38">
        <v>59.499000000000002</v>
      </c>
    </row>
    <row r="62" spans="7:51" x14ac:dyDescent="0.35">
      <c r="AU62" s="38">
        <v>8708</v>
      </c>
      <c r="AV62" s="38">
        <v>59.753999999999998</v>
      </c>
      <c r="AX62" s="38">
        <v>8584</v>
      </c>
      <c r="AY62" s="38">
        <v>61.813000000000002</v>
      </c>
    </row>
    <row r="63" spans="7:51" x14ac:dyDescent="0.35">
      <c r="AU63" s="38">
        <v>8892</v>
      </c>
      <c r="AV63" s="38">
        <v>63.064</v>
      </c>
      <c r="AW63" s="13" t="s">
        <v>234</v>
      </c>
      <c r="AX63" s="15">
        <v>8670</v>
      </c>
      <c r="AY63" s="15">
        <v>64.200999999999993</v>
      </c>
    </row>
    <row r="64" spans="7:51" x14ac:dyDescent="0.35">
      <c r="AU64" s="38">
        <v>9125</v>
      </c>
      <c r="AV64" s="38">
        <v>59.499000000000002</v>
      </c>
    </row>
    <row r="65" spans="2:48" x14ac:dyDescent="0.35">
      <c r="AU65" s="38">
        <v>9162</v>
      </c>
      <c r="AV65" s="38">
        <v>61.813000000000002</v>
      </c>
    </row>
    <row r="66" spans="2:48" x14ac:dyDescent="0.35">
      <c r="AT66" s="19" t="s">
        <v>234</v>
      </c>
      <c r="AU66" s="9">
        <v>9248</v>
      </c>
      <c r="AV66" s="39">
        <v>64.200999999999993</v>
      </c>
    </row>
    <row r="67" spans="2:48" x14ac:dyDescent="0.35">
      <c r="B67" s="62"/>
    </row>
    <row r="68" spans="2:48" x14ac:dyDescent="0.35">
      <c r="B68" s="62"/>
    </row>
    <row r="69" spans="2:48" x14ac:dyDescent="0.35">
      <c r="B69" s="62"/>
    </row>
    <row r="70" spans="2:48" x14ac:dyDescent="0.35">
      <c r="B70" s="62"/>
    </row>
    <row r="71" spans="2:48" x14ac:dyDescent="0.35">
      <c r="B71" s="62"/>
    </row>
  </sheetData>
  <mergeCells count="19">
    <mergeCell ref="AN22:AN23"/>
    <mergeCell ref="AQ6:AQ7"/>
    <mergeCell ref="AX1:AY1"/>
    <mergeCell ref="AL1:AM1"/>
    <mergeCell ref="AI1:AJ1"/>
    <mergeCell ref="AO1:AP1"/>
    <mergeCell ref="AR1:AS1"/>
    <mergeCell ref="AU1:AV1"/>
    <mergeCell ref="AF1:AG1"/>
    <mergeCell ref="AC1:AD1"/>
    <mergeCell ref="B1:C1"/>
    <mergeCell ref="E1:F1"/>
    <mergeCell ref="H1:I1"/>
    <mergeCell ref="K1:L1"/>
    <mergeCell ref="N1:O1"/>
    <mergeCell ref="Q1:R1"/>
    <mergeCell ref="T1:U1"/>
    <mergeCell ref="W1:X1"/>
    <mergeCell ref="Z1:AA1"/>
  </mergeCells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1"/>
  <dimension ref="A1:BZ53"/>
  <sheetViews>
    <sheetView topLeftCell="AQ1" workbookViewId="0">
      <selection activeCell="AQ36" sqref="A36:XFD36"/>
    </sheetView>
  </sheetViews>
  <sheetFormatPr defaultRowHeight="14.5" x14ac:dyDescent="0.35"/>
  <sheetData>
    <row r="1" spans="1:78" x14ac:dyDescent="0.35">
      <c r="B1" s="99" t="s">
        <v>327</v>
      </c>
      <c r="C1" s="100"/>
      <c r="D1" s="74"/>
      <c r="E1" s="99" t="s">
        <v>350</v>
      </c>
      <c r="F1" s="100"/>
      <c r="H1" s="99" t="s">
        <v>329</v>
      </c>
      <c r="I1" s="100"/>
      <c r="J1" s="74"/>
      <c r="K1" s="99" t="s">
        <v>330</v>
      </c>
      <c r="L1" s="100"/>
      <c r="M1" s="74"/>
      <c r="N1" s="99" t="s">
        <v>331</v>
      </c>
      <c r="O1" s="100"/>
      <c r="P1" s="74"/>
      <c r="Q1" s="99" t="s">
        <v>332</v>
      </c>
      <c r="R1" s="100"/>
      <c r="S1" s="74"/>
      <c r="T1" s="99" t="s">
        <v>333</v>
      </c>
      <c r="U1" s="100"/>
      <c r="V1" s="74"/>
      <c r="W1" s="99" t="s">
        <v>334</v>
      </c>
      <c r="X1" s="100"/>
      <c r="Y1" s="74"/>
      <c r="Z1" s="99" t="s">
        <v>335</v>
      </c>
      <c r="AA1" s="100"/>
      <c r="AB1" s="74"/>
      <c r="AC1" s="99" t="s">
        <v>336</v>
      </c>
      <c r="AD1" s="100"/>
      <c r="AE1" s="74"/>
      <c r="AF1" s="99" t="s">
        <v>337</v>
      </c>
      <c r="AG1" s="100"/>
      <c r="AH1" s="74"/>
      <c r="AI1" s="99" t="s">
        <v>338</v>
      </c>
      <c r="AJ1" s="100"/>
      <c r="AK1" s="74"/>
      <c r="AL1" s="99" t="s">
        <v>339</v>
      </c>
      <c r="AM1" s="100"/>
      <c r="AN1" s="74"/>
      <c r="AO1" s="99" t="s">
        <v>340</v>
      </c>
      <c r="AP1" s="100"/>
      <c r="AQ1" s="74"/>
      <c r="AR1" s="99" t="s">
        <v>341</v>
      </c>
      <c r="AS1" s="100"/>
      <c r="AT1" s="74"/>
      <c r="AU1" s="99" t="s">
        <v>342</v>
      </c>
      <c r="AV1" s="100"/>
      <c r="AW1" s="74"/>
      <c r="AX1" s="99" t="s">
        <v>343</v>
      </c>
      <c r="AY1" s="100"/>
      <c r="AZ1" s="74"/>
      <c r="BA1" s="99" t="s">
        <v>344</v>
      </c>
      <c r="BB1" s="100"/>
      <c r="BC1" s="74"/>
      <c r="BD1" s="99" t="s">
        <v>345</v>
      </c>
      <c r="BE1" s="100"/>
      <c r="BF1" s="74"/>
      <c r="BG1" s="99" t="s">
        <v>346</v>
      </c>
      <c r="BH1" s="100"/>
      <c r="BI1" s="74"/>
      <c r="BJ1" s="99" t="s">
        <v>347</v>
      </c>
      <c r="BK1" s="100"/>
      <c r="BL1" s="74"/>
      <c r="BM1" s="99" t="s">
        <v>348</v>
      </c>
      <c r="BN1" s="100"/>
      <c r="BO1" s="74"/>
      <c r="BP1" s="99" t="s">
        <v>349</v>
      </c>
      <c r="BQ1" s="100"/>
      <c r="BR1" s="74"/>
      <c r="BS1" s="101"/>
      <c r="BT1" s="101"/>
      <c r="BU1" s="74"/>
      <c r="BV1" s="101"/>
      <c r="BW1" s="101"/>
      <c r="BX1" s="74"/>
      <c r="BY1" s="101"/>
      <c r="BZ1" s="101"/>
    </row>
    <row r="2" spans="1:78" x14ac:dyDescent="0.35">
      <c r="B2" s="1" t="s">
        <v>32</v>
      </c>
      <c r="C2" s="1" t="s">
        <v>33</v>
      </c>
      <c r="D2" s="74"/>
      <c r="E2" s="1" t="s">
        <v>32</v>
      </c>
      <c r="F2" s="1" t="s">
        <v>33</v>
      </c>
      <c r="H2" s="1" t="s">
        <v>32</v>
      </c>
      <c r="I2" s="1" t="s">
        <v>33</v>
      </c>
      <c r="J2" s="74"/>
      <c r="K2" s="1" t="s">
        <v>32</v>
      </c>
      <c r="L2" s="1" t="s">
        <v>33</v>
      </c>
      <c r="M2" s="74"/>
      <c r="N2" s="1" t="s">
        <v>32</v>
      </c>
      <c r="O2" s="1" t="s">
        <v>33</v>
      </c>
      <c r="P2" s="74"/>
      <c r="Q2" s="1" t="s">
        <v>32</v>
      </c>
      <c r="R2" s="1" t="s">
        <v>33</v>
      </c>
      <c r="S2" s="74"/>
      <c r="T2" s="1" t="s">
        <v>32</v>
      </c>
      <c r="U2" s="1" t="s">
        <v>33</v>
      </c>
      <c r="V2" s="74"/>
      <c r="W2" s="1" t="s">
        <v>32</v>
      </c>
      <c r="X2" s="1" t="s">
        <v>33</v>
      </c>
      <c r="Y2" s="74"/>
      <c r="Z2" s="1" t="s">
        <v>32</v>
      </c>
      <c r="AA2" s="1" t="s">
        <v>33</v>
      </c>
      <c r="AB2" s="74"/>
      <c r="AC2" s="1" t="s">
        <v>32</v>
      </c>
      <c r="AD2" s="1" t="s">
        <v>33</v>
      </c>
      <c r="AE2" s="74"/>
      <c r="AF2" s="1" t="s">
        <v>32</v>
      </c>
      <c r="AG2" s="1" t="s">
        <v>33</v>
      </c>
      <c r="AH2" s="74"/>
      <c r="AI2" s="1" t="s">
        <v>32</v>
      </c>
      <c r="AJ2" s="1" t="s">
        <v>33</v>
      </c>
      <c r="AK2" s="74"/>
      <c r="AL2" s="1" t="s">
        <v>32</v>
      </c>
      <c r="AM2" s="1" t="s">
        <v>33</v>
      </c>
      <c r="AN2" s="74"/>
      <c r="AO2" s="1" t="s">
        <v>32</v>
      </c>
      <c r="AP2" s="1" t="s">
        <v>33</v>
      </c>
      <c r="AQ2" s="74"/>
      <c r="AR2" s="1" t="s">
        <v>32</v>
      </c>
      <c r="AS2" s="1" t="s">
        <v>33</v>
      </c>
      <c r="AT2" s="74"/>
      <c r="AU2" s="1" t="s">
        <v>32</v>
      </c>
      <c r="AV2" s="1" t="s">
        <v>33</v>
      </c>
      <c r="AW2" s="74"/>
      <c r="AX2" s="1" t="s">
        <v>32</v>
      </c>
      <c r="AY2" s="1" t="s">
        <v>33</v>
      </c>
      <c r="AZ2" s="74"/>
      <c r="BA2" s="1" t="s">
        <v>32</v>
      </c>
      <c r="BB2" s="1" t="s">
        <v>33</v>
      </c>
      <c r="BC2" s="74"/>
      <c r="BD2" s="1" t="s">
        <v>32</v>
      </c>
      <c r="BE2" s="1" t="s">
        <v>33</v>
      </c>
      <c r="BF2" s="74"/>
      <c r="BG2" s="1" t="s">
        <v>32</v>
      </c>
      <c r="BH2" s="1" t="s">
        <v>33</v>
      </c>
      <c r="BI2" s="74"/>
      <c r="BJ2" s="1" t="s">
        <v>32</v>
      </c>
      <c r="BK2" s="1" t="s">
        <v>33</v>
      </c>
      <c r="BL2" s="74"/>
      <c r="BM2" s="1" t="s">
        <v>32</v>
      </c>
      <c r="BN2" s="1" t="s">
        <v>33</v>
      </c>
      <c r="BO2" s="74"/>
      <c r="BP2" s="1" t="s">
        <v>32</v>
      </c>
      <c r="BQ2" s="1" t="s">
        <v>33</v>
      </c>
      <c r="BR2" s="74"/>
      <c r="BS2" s="74"/>
      <c r="BT2" s="74"/>
      <c r="BU2" s="74"/>
      <c r="BV2" s="74"/>
      <c r="BW2" s="74"/>
      <c r="BX2" s="74"/>
      <c r="BY2" s="74"/>
      <c r="BZ2" s="74"/>
    </row>
    <row r="3" spans="1:78" x14ac:dyDescent="0.35">
      <c r="B3" s="38">
        <v>0</v>
      </c>
      <c r="C3" s="38">
        <v>67.760000000000005</v>
      </c>
      <c r="E3" s="38">
        <v>0</v>
      </c>
      <c r="F3" s="38">
        <v>56.14</v>
      </c>
      <c r="H3" s="53">
        <v>0</v>
      </c>
      <c r="I3" s="53">
        <v>66.72</v>
      </c>
      <c r="K3" s="53">
        <v>0</v>
      </c>
      <c r="L3" s="53">
        <v>66.11</v>
      </c>
      <c r="N3" s="53">
        <v>0</v>
      </c>
      <c r="O3" s="53">
        <v>60.32</v>
      </c>
      <c r="Q3" s="53">
        <v>0</v>
      </c>
      <c r="R3" s="53">
        <v>68.27</v>
      </c>
      <c r="T3" s="53">
        <v>0</v>
      </c>
      <c r="U3" s="53">
        <v>66.83</v>
      </c>
      <c r="W3" s="38">
        <v>0</v>
      </c>
      <c r="X3" s="38">
        <v>67.36</v>
      </c>
      <c r="Z3" s="53">
        <v>0</v>
      </c>
      <c r="AA3" s="53">
        <v>68.569999999999993</v>
      </c>
      <c r="AC3" s="53">
        <v>0</v>
      </c>
      <c r="AD3" s="53">
        <v>57.43</v>
      </c>
      <c r="AF3" s="53">
        <v>0</v>
      </c>
      <c r="AG3" s="53">
        <v>62.5</v>
      </c>
      <c r="AI3" s="38">
        <v>0</v>
      </c>
      <c r="AJ3" s="38">
        <v>68.86</v>
      </c>
      <c r="AL3" s="53">
        <v>0</v>
      </c>
      <c r="AM3" s="53">
        <v>64.95</v>
      </c>
      <c r="AO3" s="53">
        <v>0</v>
      </c>
      <c r="AP3" s="53">
        <v>59.7</v>
      </c>
      <c r="AR3" s="38">
        <v>0</v>
      </c>
      <c r="AS3" s="38">
        <v>75.790000000000006</v>
      </c>
      <c r="AU3" s="53">
        <v>0</v>
      </c>
      <c r="AV3" s="53">
        <v>72.22</v>
      </c>
      <c r="AX3" s="53">
        <v>0</v>
      </c>
      <c r="AY3" s="53">
        <v>68.92</v>
      </c>
      <c r="BA3" s="38">
        <v>0</v>
      </c>
      <c r="BB3" s="38">
        <v>63.84</v>
      </c>
      <c r="BD3" s="53">
        <v>0</v>
      </c>
      <c r="BE3" s="53">
        <v>62.44</v>
      </c>
      <c r="BG3" s="38">
        <v>0</v>
      </c>
      <c r="BH3" s="38">
        <v>57.7</v>
      </c>
      <c r="BJ3" s="38">
        <v>0</v>
      </c>
      <c r="BK3" s="38">
        <v>72.290000000000006</v>
      </c>
      <c r="BM3" s="53">
        <v>0</v>
      </c>
      <c r="BN3" s="53">
        <v>58.61</v>
      </c>
      <c r="BP3" s="38">
        <v>0</v>
      </c>
      <c r="BQ3" s="38">
        <v>57.43</v>
      </c>
    </row>
    <row r="4" spans="1:78" x14ac:dyDescent="0.35">
      <c r="B4" s="38">
        <v>259</v>
      </c>
      <c r="C4" s="38">
        <v>64.209999999999994</v>
      </c>
      <c r="D4" s="13" t="s">
        <v>351</v>
      </c>
      <c r="E4" s="15">
        <v>258</v>
      </c>
      <c r="F4" s="15">
        <v>52.33</v>
      </c>
      <c r="H4" s="38">
        <v>232</v>
      </c>
      <c r="I4" s="38">
        <v>66.98</v>
      </c>
      <c r="K4" s="38">
        <v>87</v>
      </c>
      <c r="L4" s="38">
        <v>65.73</v>
      </c>
      <c r="N4" s="53">
        <v>139</v>
      </c>
      <c r="O4" s="53">
        <v>61.64</v>
      </c>
      <c r="Q4" s="53">
        <v>66</v>
      </c>
      <c r="R4" s="53">
        <v>67.459999999999994</v>
      </c>
      <c r="T4" s="53">
        <v>121</v>
      </c>
      <c r="U4" s="53">
        <v>64.94</v>
      </c>
      <c r="W4" s="38">
        <v>186</v>
      </c>
      <c r="X4" s="38">
        <v>64.67</v>
      </c>
      <c r="Z4" s="53">
        <v>177</v>
      </c>
      <c r="AA4" s="53">
        <v>70.33</v>
      </c>
      <c r="AC4" s="53">
        <v>92</v>
      </c>
      <c r="AD4" s="53">
        <v>58.22</v>
      </c>
      <c r="AF4" s="53">
        <v>81</v>
      </c>
      <c r="AG4" s="53">
        <v>61.62</v>
      </c>
      <c r="AI4" s="38">
        <v>72</v>
      </c>
      <c r="AJ4" s="38">
        <v>68.55</v>
      </c>
      <c r="AL4" s="53">
        <v>169</v>
      </c>
      <c r="AM4" s="53">
        <v>65.38</v>
      </c>
      <c r="AO4" s="53">
        <v>97</v>
      </c>
      <c r="AP4" s="53">
        <v>60.18</v>
      </c>
      <c r="AR4" s="38">
        <v>99</v>
      </c>
      <c r="AS4" s="38">
        <v>74.7</v>
      </c>
      <c r="AU4" s="53">
        <v>128</v>
      </c>
      <c r="AV4" s="53">
        <v>70.63</v>
      </c>
      <c r="AW4" s="19" t="s">
        <v>64</v>
      </c>
      <c r="AX4" s="9">
        <v>23</v>
      </c>
      <c r="AY4" s="9">
        <v>69.19</v>
      </c>
      <c r="BA4" s="38">
        <v>160</v>
      </c>
      <c r="BB4" s="38">
        <v>63.78</v>
      </c>
      <c r="BD4" s="38">
        <v>117</v>
      </c>
      <c r="BE4" s="38">
        <v>59.95</v>
      </c>
      <c r="BG4" s="38">
        <v>90</v>
      </c>
      <c r="BH4" s="38">
        <v>57.39</v>
      </c>
      <c r="BJ4" s="38">
        <v>93</v>
      </c>
      <c r="BK4" s="38">
        <v>71.53</v>
      </c>
      <c r="BM4" s="53">
        <v>97</v>
      </c>
      <c r="BN4" s="53">
        <v>57.02</v>
      </c>
      <c r="BP4" s="53">
        <v>44</v>
      </c>
      <c r="BQ4" s="53">
        <v>56.97</v>
      </c>
    </row>
    <row r="5" spans="1:78" x14ac:dyDescent="0.35">
      <c r="B5" s="38">
        <v>359</v>
      </c>
      <c r="C5" s="38">
        <v>61.85</v>
      </c>
      <c r="E5" s="38">
        <v>442</v>
      </c>
      <c r="F5" s="38">
        <v>51.96</v>
      </c>
      <c r="H5" s="53">
        <v>474</v>
      </c>
      <c r="I5" s="53">
        <v>67.819999999999993</v>
      </c>
      <c r="K5" s="53">
        <v>235</v>
      </c>
      <c r="L5" s="53">
        <v>66</v>
      </c>
      <c r="N5" s="53">
        <v>269</v>
      </c>
      <c r="O5" s="53">
        <v>59.34</v>
      </c>
      <c r="Q5" s="53">
        <v>191</v>
      </c>
      <c r="R5" s="53">
        <v>66.569999999999993</v>
      </c>
      <c r="T5" s="53">
        <v>221</v>
      </c>
      <c r="U5" s="53">
        <v>65.95</v>
      </c>
      <c r="W5" s="38">
        <v>274</v>
      </c>
      <c r="X5" s="38">
        <v>64.63</v>
      </c>
      <c r="Z5" s="53">
        <v>244</v>
      </c>
      <c r="AA5" s="53">
        <v>70.22</v>
      </c>
      <c r="AC5" s="53">
        <v>171</v>
      </c>
      <c r="AD5" s="53">
        <v>58.43</v>
      </c>
      <c r="AF5" s="53">
        <v>242</v>
      </c>
      <c r="AG5" s="53">
        <v>60.36</v>
      </c>
      <c r="AI5" s="38">
        <v>352</v>
      </c>
      <c r="AJ5" s="38">
        <v>67.75</v>
      </c>
      <c r="AL5" s="53">
        <v>246</v>
      </c>
      <c r="AM5" s="53">
        <v>65.66</v>
      </c>
      <c r="AO5" s="53">
        <v>176</v>
      </c>
      <c r="AP5" s="53">
        <v>60.55</v>
      </c>
      <c r="AR5" s="38">
        <v>235</v>
      </c>
      <c r="AS5" s="38">
        <v>75.38</v>
      </c>
      <c r="AU5" s="53">
        <v>216</v>
      </c>
      <c r="AV5" s="53">
        <v>70.67</v>
      </c>
      <c r="AX5" s="53">
        <v>214</v>
      </c>
      <c r="AY5" s="53">
        <v>70.13</v>
      </c>
      <c r="BA5" s="38">
        <v>282</v>
      </c>
      <c r="BB5" s="38">
        <v>63.49</v>
      </c>
      <c r="BD5" s="53">
        <v>302</v>
      </c>
      <c r="BE5" s="53">
        <v>60.22</v>
      </c>
      <c r="BG5" s="38">
        <v>138</v>
      </c>
      <c r="BH5" s="38">
        <v>59.09</v>
      </c>
      <c r="BJ5" s="38">
        <v>294</v>
      </c>
      <c r="BK5" s="38">
        <v>69.41</v>
      </c>
      <c r="BM5" s="53">
        <v>286</v>
      </c>
      <c r="BN5" s="53">
        <v>56.86</v>
      </c>
      <c r="BP5" s="53">
        <v>172</v>
      </c>
      <c r="BQ5" s="53">
        <v>52.95</v>
      </c>
    </row>
    <row r="6" spans="1:78" x14ac:dyDescent="0.35">
      <c r="B6" s="38">
        <v>447</v>
      </c>
      <c r="C6" s="38">
        <v>60.63</v>
      </c>
      <c r="E6" s="38">
        <v>510</v>
      </c>
      <c r="F6" s="38">
        <v>52.73</v>
      </c>
      <c r="H6" s="53">
        <v>929</v>
      </c>
      <c r="I6" s="53">
        <v>67.39</v>
      </c>
      <c r="K6" s="53">
        <v>300</v>
      </c>
      <c r="L6" s="53">
        <v>66.650000000000006</v>
      </c>
      <c r="N6" s="53">
        <v>422</v>
      </c>
      <c r="O6" s="53">
        <v>60.31</v>
      </c>
      <c r="Q6" s="53">
        <v>275</v>
      </c>
      <c r="R6" s="53">
        <v>66.25</v>
      </c>
      <c r="S6" s="19" t="s">
        <v>110</v>
      </c>
      <c r="T6" s="9">
        <v>249</v>
      </c>
      <c r="U6" s="9">
        <v>64.430000000000007</v>
      </c>
      <c r="W6" s="38">
        <v>400</v>
      </c>
      <c r="X6" s="38">
        <v>64.05</v>
      </c>
      <c r="Z6" s="53">
        <v>370</v>
      </c>
      <c r="AA6" s="53">
        <v>68.5</v>
      </c>
      <c r="AC6" s="53">
        <v>289</v>
      </c>
      <c r="AD6" s="53">
        <v>57.46</v>
      </c>
      <c r="AF6" s="53">
        <v>404</v>
      </c>
      <c r="AG6" s="53">
        <v>59.7</v>
      </c>
      <c r="AI6" s="38">
        <v>463</v>
      </c>
      <c r="AJ6" s="38">
        <v>67.599999999999994</v>
      </c>
      <c r="AL6" s="53">
        <v>304</v>
      </c>
      <c r="AM6" s="53">
        <v>66.349999999999994</v>
      </c>
      <c r="AO6" s="53">
        <v>399</v>
      </c>
      <c r="AP6" s="53">
        <v>59.78</v>
      </c>
      <c r="AR6" s="38">
        <v>336</v>
      </c>
      <c r="AS6" s="38">
        <v>73.87</v>
      </c>
      <c r="AU6" s="53">
        <v>460</v>
      </c>
      <c r="AV6" s="53">
        <v>70.650000000000006</v>
      </c>
      <c r="AX6" s="53">
        <v>336</v>
      </c>
      <c r="AY6" s="53">
        <v>69.680000000000007</v>
      </c>
      <c r="BA6" s="38">
        <v>641</v>
      </c>
      <c r="BB6" s="38">
        <v>64.81</v>
      </c>
      <c r="BD6" s="53">
        <v>462</v>
      </c>
      <c r="BE6" s="53">
        <v>63.83</v>
      </c>
      <c r="BG6" s="38">
        <v>481</v>
      </c>
      <c r="BH6" s="38">
        <v>57.74</v>
      </c>
      <c r="BI6" s="19" t="s">
        <v>110</v>
      </c>
      <c r="BJ6" s="9">
        <v>352</v>
      </c>
      <c r="BK6" s="9">
        <v>68.36</v>
      </c>
      <c r="BM6" s="53">
        <v>495</v>
      </c>
      <c r="BN6" s="53">
        <v>56.91</v>
      </c>
      <c r="BP6" s="38">
        <v>400</v>
      </c>
      <c r="BQ6" s="38">
        <v>54.79</v>
      </c>
    </row>
    <row r="7" spans="1:78" x14ac:dyDescent="0.35">
      <c r="A7" s="19" t="s">
        <v>119</v>
      </c>
      <c r="B7" s="9">
        <v>577</v>
      </c>
      <c r="C7" s="9">
        <v>57.34</v>
      </c>
      <c r="E7" s="38">
        <v>557</v>
      </c>
      <c r="F7" s="38">
        <v>53.65</v>
      </c>
      <c r="H7" s="53">
        <v>1090</v>
      </c>
      <c r="I7" s="53">
        <v>66.739999999999995</v>
      </c>
      <c r="K7" s="53">
        <v>448</v>
      </c>
      <c r="L7" s="53">
        <v>67.260000000000005</v>
      </c>
      <c r="M7" s="19" t="s">
        <v>64</v>
      </c>
      <c r="N7" s="39">
        <v>599</v>
      </c>
      <c r="O7" s="39">
        <v>51.9</v>
      </c>
      <c r="Q7" s="53">
        <v>456</v>
      </c>
      <c r="R7" s="53">
        <v>64.47</v>
      </c>
      <c r="T7" s="53">
        <v>361</v>
      </c>
      <c r="U7" s="53">
        <v>64.88</v>
      </c>
      <c r="W7" s="38">
        <v>710</v>
      </c>
      <c r="X7" s="38">
        <v>68.72</v>
      </c>
      <c r="Z7" s="53">
        <v>520</v>
      </c>
      <c r="AA7" s="53">
        <v>66.05</v>
      </c>
      <c r="AC7" s="53">
        <v>415</v>
      </c>
      <c r="AD7" s="53">
        <v>60.05</v>
      </c>
      <c r="AF7" s="53">
        <v>453</v>
      </c>
      <c r="AG7" s="53">
        <v>59.75</v>
      </c>
      <c r="AI7" s="38">
        <v>611</v>
      </c>
      <c r="AJ7" s="38">
        <v>67.540000000000006</v>
      </c>
      <c r="AL7" s="53">
        <v>375</v>
      </c>
      <c r="AM7" s="53">
        <v>67.63</v>
      </c>
      <c r="AO7" s="53">
        <v>488</v>
      </c>
      <c r="AP7" s="53">
        <v>59.49</v>
      </c>
      <c r="AR7" s="38">
        <v>597</v>
      </c>
      <c r="AS7" s="38">
        <v>72.37</v>
      </c>
      <c r="AU7" s="53">
        <v>722</v>
      </c>
      <c r="AV7" s="53">
        <v>67.650000000000006</v>
      </c>
      <c r="AX7" s="53">
        <v>368</v>
      </c>
      <c r="AY7" s="53">
        <v>69.83</v>
      </c>
      <c r="BA7" s="38">
        <v>803</v>
      </c>
      <c r="BB7" s="38">
        <v>64.260000000000005</v>
      </c>
      <c r="BD7" s="53">
        <v>564</v>
      </c>
      <c r="BE7" s="53">
        <v>62.85</v>
      </c>
      <c r="BG7" s="38">
        <v>655</v>
      </c>
      <c r="BH7" s="38">
        <v>63.73</v>
      </c>
      <c r="BJ7" s="38">
        <v>621</v>
      </c>
      <c r="BK7" s="38">
        <v>65.319999999999993</v>
      </c>
      <c r="BM7" s="53">
        <v>585</v>
      </c>
      <c r="BN7" s="53">
        <v>57.04</v>
      </c>
      <c r="BP7" s="53">
        <v>478</v>
      </c>
      <c r="BQ7" s="53">
        <v>54.21</v>
      </c>
    </row>
    <row r="8" spans="1:78" x14ac:dyDescent="0.35">
      <c r="B8" s="38">
        <v>708</v>
      </c>
      <c r="C8" s="38">
        <v>62.52</v>
      </c>
      <c r="E8" s="38">
        <v>658</v>
      </c>
      <c r="F8" s="38">
        <v>56.07</v>
      </c>
      <c r="H8" s="53">
        <v>1280</v>
      </c>
      <c r="I8" s="53">
        <v>65.28</v>
      </c>
      <c r="K8" s="53">
        <v>512</v>
      </c>
      <c r="L8" s="53">
        <v>67.260000000000005</v>
      </c>
      <c r="N8" s="39">
        <v>625</v>
      </c>
      <c r="O8" s="39">
        <v>51.95</v>
      </c>
      <c r="Q8" s="53">
        <v>616</v>
      </c>
      <c r="R8" s="53">
        <v>64.540000000000006</v>
      </c>
      <c r="T8" s="53">
        <v>436</v>
      </c>
      <c r="U8" s="53">
        <v>64.819999999999993</v>
      </c>
      <c r="W8" s="38">
        <v>1137</v>
      </c>
      <c r="X8" s="38">
        <v>67.78</v>
      </c>
      <c r="Z8" s="53">
        <v>653</v>
      </c>
      <c r="AA8" s="53">
        <v>62.48</v>
      </c>
      <c r="AC8" s="53">
        <v>522</v>
      </c>
      <c r="AD8" s="53">
        <v>59.7</v>
      </c>
      <c r="AF8" s="53">
        <v>522</v>
      </c>
      <c r="AG8" s="53">
        <v>59.06</v>
      </c>
      <c r="AI8" s="38">
        <v>663</v>
      </c>
      <c r="AJ8" s="38">
        <v>67.959999999999994</v>
      </c>
      <c r="AL8" s="53">
        <v>817</v>
      </c>
      <c r="AM8" s="53">
        <v>67.73</v>
      </c>
      <c r="AO8" s="53">
        <v>656</v>
      </c>
      <c r="AP8" s="53">
        <v>57.48</v>
      </c>
      <c r="AR8" s="38">
        <v>804</v>
      </c>
      <c r="AS8" s="38">
        <v>70.42</v>
      </c>
      <c r="AU8" s="53">
        <v>1121</v>
      </c>
      <c r="AV8" s="53">
        <v>66.62</v>
      </c>
      <c r="AX8" s="53">
        <v>490</v>
      </c>
      <c r="AY8" s="53">
        <v>70.12</v>
      </c>
      <c r="BA8" s="38">
        <v>982</v>
      </c>
      <c r="BB8" s="38">
        <v>64.489999999999995</v>
      </c>
      <c r="BD8" s="53">
        <v>615</v>
      </c>
      <c r="BE8" s="53">
        <v>63.39</v>
      </c>
      <c r="BG8" s="38">
        <v>854</v>
      </c>
      <c r="BH8" s="38">
        <v>68.28</v>
      </c>
      <c r="BI8" s="19" t="s">
        <v>64</v>
      </c>
      <c r="BJ8" s="9">
        <v>862</v>
      </c>
      <c r="BK8" s="9">
        <v>61.35</v>
      </c>
      <c r="BM8" s="53">
        <v>690</v>
      </c>
      <c r="BN8" s="53">
        <v>57.16</v>
      </c>
      <c r="BP8" s="53">
        <v>709</v>
      </c>
      <c r="BQ8" s="53">
        <v>56.43</v>
      </c>
    </row>
    <row r="9" spans="1:78" x14ac:dyDescent="0.35">
      <c r="A9" s="19" t="s">
        <v>356</v>
      </c>
      <c r="B9" s="9">
        <v>762</v>
      </c>
      <c r="C9" s="9">
        <v>64.56</v>
      </c>
      <c r="E9" s="38">
        <v>735</v>
      </c>
      <c r="F9" s="38">
        <v>56.39</v>
      </c>
      <c r="H9" s="53">
        <v>1494</v>
      </c>
      <c r="I9" s="53">
        <v>65.52</v>
      </c>
      <c r="K9" s="53">
        <v>848</v>
      </c>
      <c r="L9" s="53">
        <v>66.819999999999993</v>
      </c>
      <c r="N9" s="53">
        <v>701</v>
      </c>
      <c r="O9" s="53">
        <v>53.74</v>
      </c>
      <c r="Q9" s="53">
        <v>690</v>
      </c>
      <c r="R9" s="53">
        <v>64.67</v>
      </c>
      <c r="T9" s="53">
        <v>524</v>
      </c>
      <c r="U9" s="53">
        <v>65.040000000000006</v>
      </c>
      <c r="W9" s="38">
        <v>1369</v>
      </c>
      <c r="X9" s="38">
        <v>66.78</v>
      </c>
      <c r="Z9" s="53">
        <v>779</v>
      </c>
      <c r="AA9" s="53">
        <v>64.010000000000005</v>
      </c>
      <c r="AC9" s="53">
        <v>680</v>
      </c>
      <c r="AD9" s="53">
        <v>61.7</v>
      </c>
      <c r="AF9" s="53">
        <v>719</v>
      </c>
      <c r="AG9" s="53">
        <v>60.81</v>
      </c>
      <c r="AI9" s="38">
        <v>728</v>
      </c>
      <c r="AJ9" s="38">
        <v>67.08</v>
      </c>
      <c r="AL9" s="53">
        <v>951</v>
      </c>
      <c r="AM9" s="53">
        <v>65.680000000000007</v>
      </c>
      <c r="AO9" s="53">
        <v>710</v>
      </c>
      <c r="AP9" s="53">
        <v>57.23</v>
      </c>
      <c r="AR9" s="38">
        <v>904</v>
      </c>
      <c r="AS9" s="38">
        <v>71.72</v>
      </c>
      <c r="AU9" s="53">
        <v>1512</v>
      </c>
      <c r="AV9" s="53">
        <v>65.03</v>
      </c>
      <c r="AX9" s="53">
        <v>593</v>
      </c>
      <c r="AY9" s="53">
        <v>58.84</v>
      </c>
      <c r="BA9" s="38">
        <v>1003</v>
      </c>
      <c r="BB9" s="38">
        <v>64.88</v>
      </c>
      <c r="BD9" s="53">
        <v>666</v>
      </c>
      <c r="BE9" s="53">
        <v>62.75</v>
      </c>
      <c r="BG9" s="38">
        <v>1083</v>
      </c>
      <c r="BH9" s="38">
        <v>63.82</v>
      </c>
      <c r="BJ9" s="38">
        <v>923</v>
      </c>
      <c r="BK9" s="38">
        <v>62.8</v>
      </c>
      <c r="BM9" s="53">
        <v>787</v>
      </c>
      <c r="BN9" s="53">
        <v>58.76</v>
      </c>
      <c r="BP9" s="53">
        <v>769</v>
      </c>
      <c r="BQ9" s="53">
        <v>56.62</v>
      </c>
    </row>
    <row r="10" spans="1:78" x14ac:dyDescent="0.35">
      <c r="B10" s="38">
        <v>829</v>
      </c>
      <c r="C10" s="38">
        <v>65.930000000000007</v>
      </c>
      <c r="E10" s="38">
        <v>934</v>
      </c>
      <c r="F10" s="38">
        <v>58.44</v>
      </c>
      <c r="H10" s="53">
        <v>1712</v>
      </c>
      <c r="I10" s="53">
        <v>64.84</v>
      </c>
      <c r="K10" s="53">
        <v>1260</v>
      </c>
      <c r="L10" s="53">
        <v>64.59</v>
      </c>
      <c r="N10" s="53">
        <v>821</v>
      </c>
      <c r="O10" s="38">
        <v>56.86</v>
      </c>
      <c r="Q10" s="53">
        <v>803</v>
      </c>
      <c r="R10" s="53">
        <v>64.849999999999994</v>
      </c>
      <c r="T10" s="53">
        <v>625</v>
      </c>
      <c r="U10" s="53">
        <v>65.41</v>
      </c>
      <c r="W10" s="38">
        <v>1544</v>
      </c>
      <c r="X10" s="38">
        <v>67.17</v>
      </c>
      <c r="Z10" s="53">
        <v>975</v>
      </c>
      <c r="AA10" s="53">
        <v>65.47</v>
      </c>
      <c r="AC10" s="53">
        <v>785</v>
      </c>
      <c r="AD10" s="53">
        <v>59.09</v>
      </c>
      <c r="AF10" s="53">
        <v>888</v>
      </c>
      <c r="AG10" s="53">
        <v>60.74</v>
      </c>
      <c r="AI10" s="38">
        <v>978</v>
      </c>
      <c r="AJ10" s="38">
        <v>66.290000000000006</v>
      </c>
      <c r="AL10" s="53">
        <v>1145</v>
      </c>
      <c r="AM10" s="53">
        <v>62.85</v>
      </c>
      <c r="AO10" s="53">
        <v>847</v>
      </c>
      <c r="AP10" s="53">
        <v>62.12</v>
      </c>
      <c r="AR10" s="38">
        <v>1303</v>
      </c>
      <c r="AS10" s="38">
        <v>67.64</v>
      </c>
      <c r="AU10" s="53">
        <v>1630</v>
      </c>
      <c r="AV10" s="53">
        <v>63.53</v>
      </c>
      <c r="AX10" s="53">
        <v>769</v>
      </c>
      <c r="AY10" s="53">
        <v>67.02</v>
      </c>
      <c r="AZ10" s="13" t="s">
        <v>119</v>
      </c>
      <c r="BA10" s="15">
        <v>1102</v>
      </c>
      <c r="BB10" s="15">
        <v>64.400000000000006</v>
      </c>
      <c r="BD10" s="53">
        <v>921</v>
      </c>
      <c r="BE10" s="53">
        <v>61.39</v>
      </c>
      <c r="BG10" s="38">
        <v>1365</v>
      </c>
      <c r="BH10" s="38">
        <v>66.040000000000006</v>
      </c>
      <c r="BJ10" s="38">
        <v>1054</v>
      </c>
      <c r="BK10" s="38">
        <v>66.06</v>
      </c>
      <c r="BM10" s="53">
        <v>923</v>
      </c>
      <c r="BN10" s="53">
        <v>60.09</v>
      </c>
      <c r="BP10" s="53">
        <v>977</v>
      </c>
      <c r="BQ10" s="53">
        <v>51.42</v>
      </c>
    </row>
    <row r="11" spans="1:78" x14ac:dyDescent="0.35">
      <c r="B11" s="38">
        <v>1045</v>
      </c>
      <c r="C11" s="38">
        <v>67.13</v>
      </c>
      <c r="E11" s="38">
        <v>1270</v>
      </c>
      <c r="F11" s="38">
        <v>59.06</v>
      </c>
      <c r="H11" s="53">
        <v>1844</v>
      </c>
      <c r="I11" s="53">
        <v>64.7</v>
      </c>
      <c r="K11" s="53">
        <v>1316</v>
      </c>
      <c r="L11" s="53">
        <v>64.34</v>
      </c>
      <c r="N11" s="53">
        <v>1058</v>
      </c>
      <c r="O11" s="53">
        <v>62.57</v>
      </c>
      <c r="Q11" s="53">
        <v>1091</v>
      </c>
      <c r="R11" s="53">
        <v>65.59</v>
      </c>
      <c r="T11" s="53">
        <v>762</v>
      </c>
      <c r="U11" s="53">
        <v>65.239999999999995</v>
      </c>
      <c r="W11" s="38">
        <v>1990</v>
      </c>
      <c r="X11" s="38">
        <v>68.17</v>
      </c>
      <c r="Z11" s="53">
        <v>1143</v>
      </c>
      <c r="AA11" s="53">
        <v>65.47</v>
      </c>
      <c r="AC11" s="53">
        <v>884</v>
      </c>
      <c r="AD11" s="53">
        <v>60.71</v>
      </c>
      <c r="AF11" s="53">
        <v>1104</v>
      </c>
      <c r="AG11" s="53">
        <v>60.16</v>
      </c>
      <c r="AI11" s="38">
        <v>1054</v>
      </c>
      <c r="AJ11" s="38">
        <v>67.09</v>
      </c>
      <c r="AL11" s="53">
        <v>1228</v>
      </c>
      <c r="AM11" s="53">
        <v>63.99</v>
      </c>
      <c r="AO11" s="53">
        <v>1056</v>
      </c>
      <c r="AP11" s="53">
        <v>62.84</v>
      </c>
      <c r="AR11" s="38">
        <v>1467</v>
      </c>
      <c r="AS11" s="38">
        <v>67.55</v>
      </c>
      <c r="AU11" s="53">
        <v>1779</v>
      </c>
      <c r="AV11" s="53">
        <v>62.46</v>
      </c>
      <c r="AX11" s="53">
        <v>849</v>
      </c>
      <c r="AY11" s="53">
        <v>66.94</v>
      </c>
      <c r="BA11" s="38">
        <v>1253</v>
      </c>
      <c r="BB11" s="38">
        <v>64.28</v>
      </c>
      <c r="BD11" s="53">
        <v>1147</v>
      </c>
      <c r="BE11" s="53">
        <v>60.81</v>
      </c>
      <c r="BG11" s="38">
        <v>1576</v>
      </c>
      <c r="BH11" s="38">
        <v>61.18</v>
      </c>
      <c r="BJ11" s="38">
        <v>1192</v>
      </c>
      <c r="BK11" s="38">
        <v>68.2</v>
      </c>
      <c r="BM11" s="53">
        <v>1092</v>
      </c>
      <c r="BN11" s="53">
        <v>59.15</v>
      </c>
      <c r="BP11" s="53">
        <v>1021</v>
      </c>
      <c r="BQ11" s="53">
        <v>52.87</v>
      </c>
    </row>
    <row r="12" spans="1:78" x14ac:dyDescent="0.35">
      <c r="B12" s="38">
        <v>1251</v>
      </c>
      <c r="C12" s="38">
        <v>66.430000000000007</v>
      </c>
      <c r="E12" s="38">
        <v>1454</v>
      </c>
      <c r="F12" s="38">
        <v>59.17</v>
      </c>
      <c r="H12" s="53">
        <v>2068</v>
      </c>
      <c r="I12" s="53">
        <v>64.209999999999994</v>
      </c>
      <c r="J12" s="13" t="s">
        <v>353</v>
      </c>
      <c r="K12" s="15">
        <v>1418</v>
      </c>
      <c r="L12" s="15">
        <v>63.91</v>
      </c>
      <c r="N12" s="53">
        <v>1211</v>
      </c>
      <c r="O12" s="38">
        <v>63.59</v>
      </c>
      <c r="Q12" s="53">
        <v>1170</v>
      </c>
      <c r="R12" s="53">
        <v>65.41</v>
      </c>
      <c r="T12" s="53">
        <v>945</v>
      </c>
      <c r="U12" s="53">
        <v>66.069999999999993</v>
      </c>
      <c r="W12" s="38">
        <v>2200</v>
      </c>
      <c r="X12" s="38">
        <v>68.739999999999995</v>
      </c>
      <c r="Z12" s="53">
        <v>1212</v>
      </c>
      <c r="AA12" s="53">
        <v>65.77</v>
      </c>
      <c r="AC12" s="53">
        <v>965</v>
      </c>
      <c r="AD12" s="53">
        <v>61.52</v>
      </c>
      <c r="AF12" s="53">
        <v>1211</v>
      </c>
      <c r="AG12" s="53">
        <v>60.34</v>
      </c>
      <c r="AI12" s="38">
        <v>1258</v>
      </c>
      <c r="AJ12" s="38">
        <v>67.63</v>
      </c>
      <c r="AL12" s="53">
        <v>1368</v>
      </c>
      <c r="AM12" s="53">
        <v>65.19</v>
      </c>
      <c r="AO12" s="53">
        <v>1287</v>
      </c>
      <c r="AP12" s="53">
        <v>62.11</v>
      </c>
      <c r="AR12" s="38">
        <v>1585</v>
      </c>
      <c r="AS12" s="38">
        <v>67.13</v>
      </c>
      <c r="AU12" s="53">
        <v>1908</v>
      </c>
      <c r="AV12" s="53">
        <v>60.11</v>
      </c>
      <c r="AX12" s="53">
        <v>929</v>
      </c>
      <c r="AY12" s="53">
        <v>66.5</v>
      </c>
      <c r="BA12" s="38">
        <v>1304</v>
      </c>
      <c r="BB12" s="38">
        <v>64.72</v>
      </c>
      <c r="BD12" s="53">
        <v>1240</v>
      </c>
      <c r="BE12" s="53">
        <v>61.76</v>
      </c>
      <c r="BG12" s="38">
        <v>1655</v>
      </c>
      <c r="BH12" s="38">
        <v>60.39</v>
      </c>
      <c r="BJ12" s="38">
        <v>1505</v>
      </c>
      <c r="BK12" s="38">
        <v>66.650000000000006</v>
      </c>
      <c r="BM12" s="53">
        <v>1254</v>
      </c>
      <c r="BN12" s="53">
        <v>60.54</v>
      </c>
      <c r="BP12" s="53">
        <v>1308</v>
      </c>
      <c r="BQ12" s="53">
        <v>55.09</v>
      </c>
    </row>
    <row r="13" spans="1:78" x14ac:dyDescent="0.35">
      <c r="B13" s="38">
        <v>1383</v>
      </c>
      <c r="C13" s="38">
        <v>66.41</v>
      </c>
      <c r="E13" s="38">
        <v>1800</v>
      </c>
      <c r="F13" s="38">
        <v>59.02</v>
      </c>
      <c r="H13" s="53">
        <v>2162</v>
      </c>
      <c r="I13" s="53">
        <v>64.42</v>
      </c>
      <c r="K13" s="38">
        <v>1484</v>
      </c>
      <c r="L13" s="53">
        <v>64.099999999999994</v>
      </c>
      <c r="N13" s="53">
        <v>1367</v>
      </c>
      <c r="O13" s="53">
        <v>62.76</v>
      </c>
      <c r="Q13" s="53">
        <v>1224</v>
      </c>
      <c r="R13" s="53">
        <v>65.489999999999995</v>
      </c>
      <c r="T13" s="53">
        <v>1170</v>
      </c>
      <c r="U13" s="53">
        <v>64.86</v>
      </c>
      <c r="W13" s="38">
        <v>2326</v>
      </c>
      <c r="X13" s="38">
        <v>66.83</v>
      </c>
      <c r="Z13" s="53">
        <v>1276</v>
      </c>
      <c r="AA13" s="53">
        <v>64.81</v>
      </c>
      <c r="AC13" s="53">
        <v>1063</v>
      </c>
      <c r="AD13" s="53">
        <v>61.11</v>
      </c>
      <c r="AF13" s="53">
        <v>1270</v>
      </c>
      <c r="AG13" s="53">
        <v>59.83</v>
      </c>
      <c r="AI13" s="38">
        <v>1418</v>
      </c>
      <c r="AJ13" s="38">
        <v>67.2</v>
      </c>
      <c r="AL13" s="53">
        <v>1564</v>
      </c>
      <c r="AM13" s="53">
        <v>66.739999999999995</v>
      </c>
      <c r="AO13" s="53">
        <v>1299</v>
      </c>
      <c r="AP13" s="53">
        <v>62.01</v>
      </c>
      <c r="AR13" s="38">
        <v>2166</v>
      </c>
      <c r="AS13" s="38">
        <v>66.48</v>
      </c>
      <c r="AT13" s="13" t="s">
        <v>64</v>
      </c>
      <c r="AU13" s="40">
        <v>2026</v>
      </c>
      <c r="AV13" s="40">
        <v>57.34</v>
      </c>
      <c r="AX13" s="53">
        <v>1067</v>
      </c>
      <c r="AY13" s="53">
        <v>66.989999999999995</v>
      </c>
      <c r="BA13" s="38">
        <v>1410</v>
      </c>
      <c r="BB13" s="38">
        <v>64.12</v>
      </c>
      <c r="BC13" s="19" t="s">
        <v>64</v>
      </c>
      <c r="BD13" s="9">
        <v>1392</v>
      </c>
      <c r="BE13" s="9">
        <v>51.9</v>
      </c>
      <c r="BG13" s="38">
        <v>1795</v>
      </c>
      <c r="BH13" s="38">
        <v>58.01</v>
      </c>
      <c r="BJ13" s="38">
        <v>1637</v>
      </c>
      <c r="BK13" s="38">
        <v>66.27</v>
      </c>
      <c r="BM13" s="53">
        <v>1359</v>
      </c>
      <c r="BN13" s="53">
        <v>59.79</v>
      </c>
      <c r="BP13" s="53">
        <v>1502</v>
      </c>
      <c r="BQ13" s="53">
        <v>59.03</v>
      </c>
    </row>
    <row r="14" spans="1:78" x14ac:dyDescent="0.35">
      <c r="B14" s="38">
        <v>1807</v>
      </c>
      <c r="C14" s="38">
        <v>65.489999999999995</v>
      </c>
      <c r="E14" s="38">
        <v>2054</v>
      </c>
      <c r="F14" s="38">
        <v>57.72</v>
      </c>
      <c r="H14" s="53">
        <v>2334</v>
      </c>
      <c r="I14" s="53">
        <v>64.099999999999994</v>
      </c>
      <c r="K14" s="38">
        <v>1840</v>
      </c>
      <c r="L14" s="53">
        <v>64.45</v>
      </c>
      <c r="N14" s="53">
        <v>1505</v>
      </c>
      <c r="O14" s="53">
        <v>60.84</v>
      </c>
      <c r="Q14" s="53">
        <v>1332</v>
      </c>
      <c r="R14" s="53">
        <v>65.349999999999994</v>
      </c>
      <c r="S14" s="19" t="s">
        <v>354</v>
      </c>
      <c r="T14" s="9">
        <v>1370</v>
      </c>
      <c r="U14" s="9">
        <v>64.510000000000005</v>
      </c>
      <c r="W14" s="38">
        <v>2385</v>
      </c>
      <c r="X14" s="38">
        <v>64.430000000000007</v>
      </c>
      <c r="Z14" s="53">
        <v>1368</v>
      </c>
      <c r="AA14" s="53">
        <v>64.09</v>
      </c>
      <c r="AC14" s="53">
        <v>1173</v>
      </c>
      <c r="AD14" s="53">
        <v>61.04</v>
      </c>
      <c r="AF14" s="53">
        <v>1369</v>
      </c>
      <c r="AG14" s="53">
        <v>59.14</v>
      </c>
      <c r="AH14" s="13" t="s">
        <v>110</v>
      </c>
      <c r="AI14" s="15">
        <v>1509</v>
      </c>
      <c r="AJ14" s="15">
        <v>67.62</v>
      </c>
      <c r="AL14" s="53">
        <v>1812</v>
      </c>
      <c r="AM14" s="53">
        <v>64.53</v>
      </c>
      <c r="AO14" s="53">
        <v>1365</v>
      </c>
      <c r="AP14" s="53">
        <v>62.03</v>
      </c>
      <c r="AR14" s="38">
        <v>2542</v>
      </c>
      <c r="AS14" s="38">
        <v>65.739999999999995</v>
      </c>
      <c r="AU14" s="40">
        <v>2037</v>
      </c>
      <c r="AV14" s="40">
        <v>57.38</v>
      </c>
      <c r="AX14" s="53">
        <v>1163</v>
      </c>
      <c r="AY14" s="53">
        <v>67.2</v>
      </c>
      <c r="BA14" s="38">
        <v>1575</v>
      </c>
      <c r="BB14" s="38">
        <v>64.08</v>
      </c>
      <c r="BD14" s="53">
        <v>1465</v>
      </c>
      <c r="BE14" s="53">
        <v>51.95</v>
      </c>
      <c r="BG14" s="38">
        <v>1854</v>
      </c>
      <c r="BH14" s="38">
        <v>59.24</v>
      </c>
      <c r="BJ14" s="38">
        <v>1722</v>
      </c>
      <c r="BK14" s="38">
        <v>66.11</v>
      </c>
      <c r="BM14" s="53">
        <v>1658</v>
      </c>
      <c r="BN14" s="53">
        <v>59.53</v>
      </c>
      <c r="BP14" s="53">
        <v>1636</v>
      </c>
      <c r="BQ14" s="53">
        <v>57.72</v>
      </c>
    </row>
    <row r="15" spans="1:78" x14ac:dyDescent="0.35">
      <c r="B15" s="38">
        <v>2246</v>
      </c>
      <c r="C15" s="38">
        <v>64.84</v>
      </c>
      <c r="E15" s="38">
        <v>2304</v>
      </c>
      <c r="F15" s="38">
        <v>57.88</v>
      </c>
      <c r="G15" s="19" t="s">
        <v>352</v>
      </c>
      <c r="H15" s="9">
        <v>2360</v>
      </c>
      <c r="I15" s="9">
        <v>63.91</v>
      </c>
      <c r="K15" s="38">
        <v>1918</v>
      </c>
      <c r="L15" s="53">
        <v>64.92</v>
      </c>
      <c r="M15" s="19" t="s">
        <v>234</v>
      </c>
      <c r="N15" s="9">
        <v>1682</v>
      </c>
      <c r="O15" s="9">
        <v>62.18</v>
      </c>
      <c r="Q15" s="53">
        <v>1428</v>
      </c>
      <c r="R15" s="53">
        <v>65.5</v>
      </c>
      <c r="T15" s="53">
        <v>1460</v>
      </c>
      <c r="U15" s="53">
        <v>64.95</v>
      </c>
      <c r="W15" s="38">
        <v>2485</v>
      </c>
      <c r="X15" s="38">
        <v>64.88</v>
      </c>
      <c r="Z15" s="53">
        <v>1370</v>
      </c>
      <c r="AA15" s="53">
        <v>64.09</v>
      </c>
      <c r="AC15" s="53">
        <v>1432</v>
      </c>
      <c r="AD15" s="53">
        <v>61.51</v>
      </c>
      <c r="AF15" s="53">
        <v>1476</v>
      </c>
      <c r="AG15" s="53">
        <v>58.7</v>
      </c>
      <c r="AI15" s="38">
        <v>1688</v>
      </c>
      <c r="AJ15" s="38">
        <v>67.209999999999994</v>
      </c>
      <c r="AK15" s="19" t="s">
        <v>234</v>
      </c>
      <c r="AL15" s="39">
        <v>2242</v>
      </c>
      <c r="AM15" s="39">
        <v>62.18</v>
      </c>
      <c r="AO15" s="53">
        <v>1458</v>
      </c>
      <c r="AP15" s="53">
        <v>61.87</v>
      </c>
      <c r="AR15" s="38">
        <v>2787</v>
      </c>
      <c r="AS15" s="38">
        <v>65.319999999999993</v>
      </c>
      <c r="AU15" s="53">
        <v>2057</v>
      </c>
      <c r="AV15" s="53">
        <v>59.7</v>
      </c>
      <c r="AX15" s="53">
        <v>1243</v>
      </c>
      <c r="AY15" s="53">
        <v>66.25</v>
      </c>
      <c r="AZ15" s="13" t="s">
        <v>110</v>
      </c>
      <c r="BA15" s="40">
        <v>1694</v>
      </c>
      <c r="BB15" s="40">
        <v>64.349999999999994</v>
      </c>
      <c r="BD15" s="53">
        <v>1583</v>
      </c>
      <c r="BE15" s="53">
        <v>57.4</v>
      </c>
      <c r="BG15" s="38">
        <v>1944</v>
      </c>
      <c r="BH15" s="38">
        <v>55.12</v>
      </c>
      <c r="BI15" s="19" t="s">
        <v>359</v>
      </c>
      <c r="BJ15" s="9">
        <v>1816</v>
      </c>
      <c r="BK15" s="9">
        <v>66.62</v>
      </c>
      <c r="BM15" s="53">
        <v>1796</v>
      </c>
      <c r="BN15" s="53">
        <v>58.21</v>
      </c>
      <c r="BP15" s="53">
        <v>1685</v>
      </c>
      <c r="BQ15" s="53">
        <v>59.18</v>
      </c>
    </row>
    <row r="16" spans="1:78" x14ac:dyDescent="0.35">
      <c r="B16" s="38">
        <v>2364</v>
      </c>
      <c r="C16" s="38">
        <v>64.7</v>
      </c>
      <c r="E16" s="38">
        <v>2506</v>
      </c>
      <c r="F16" s="38">
        <v>57.55</v>
      </c>
      <c r="H16" s="53">
        <v>2426</v>
      </c>
      <c r="I16" s="53">
        <v>64.099999999999994</v>
      </c>
      <c r="K16" s="38">
        <v>2151</v>
      </c>
      <c r="L16" s="53">
        <v>65.22</v>
      </c>
      <c r="Q16" s="53">
        <v>1514</v>
      </c>
      <c r="R16" s="53">
        <v>65.72</v>
      </c>
      <c r="T16" s="53">
        <v>1759</v>
      </c>
      <c r="U16" s="53">
        <v>65.16</v>
      </c>
      <c r="W16" s="38">
        <v>2556</v>
      </c>
      <c r="X16" s="38">
        <v>64.78</v>
      </c>
      <c r="Y16" s="19" t="s">
        <v>110</v>
      </c>
      <c r="Z16" s="39">
        <v>1532</v>
      </c>
      <c r="AA16" s="39">
        <v>62.32</v>
      </c>
      <c r="AB16" s="13" t="s">
        <v>234</v>
      </c>
      <c r="AC16" s="40">
        <v>1504</v>
      </c>
      <c r="AD16" s="40">
        <v>62.3</v>
      </c>
      <c r="AF16" s="53">
        <v>1602</v>
      </c>
      <c r="AG16" s="53">
        <v>58.03</v>
      </c>
      <c r="AI16" s="38">
        <v>2270</v>
      </c>
      <c r="AJ16" s="38">
        <v>66.53</v>
      </c>
      <c r="AO16" s="53">
        <v>1770</v>
      </c>
      <c r="AP16" s="53">
        <v>61.66</v>
      </c>
      <c r="AR16" s="38">
        <v>3008</v>
      </c>
      <c r="AS16" s="38">
        <v>64</v>
      </c>
      <c r="AU16" s="53">
        <v>2136</v>
      </c>
      <c r="AV16" s="53">
        <v>62.63</v>
      </c>
      <c r="AW16" s="19" t="s">
        <v>358</v>
      </c>
      <c r="AX16" s="9">
        <v>1345</v>
      </c>
      <c r="AY16" s="9">
        <v>66.62</v>
      </c>
      <c r="AZ16" s="13" t="s">
        <v>355</v>
      </c>
      <c r="BA16" s="15">
        <v>1928</v>
      </c>
      <c r="BB16" s="15">
        <v>64.510000000000005</v>
      </c>
      <c r="BD16" s="53">
        <v>1637</v>
      </c>
      <c r="BE16" s="53">
        <v>60.12</v>
      </c>
      <c r="BG16" s="38">
        <v>1990</v>
      </c>
      <c r="BH16" s="38">
        <v>58.65</v>
      </c>
      <c r="BJ16" s="38">
        <v>1964</v>
      </c>
      <c r="BK16" s="53">
        <v>66.510000000000005</v>
      </c>
      <c r="BM16" s="53">
        <v>1878</v>
      </c>
      <c r="BN16" s="53">
        <v>58.7</v>
      </c>
      <c r="BP16" s="53">
        <v>1935</v>
      </c>
      <c r="BQ16" s="53">
        <v>56.68</v>
      </c>
    </row>
    <row r="17" spans="1:69" x14ac:dyDescent="0.35">
      <c r="B17" s="38">
        <v>2674</v>
      </c>
      <c r="C17" s="38">
        <v>64.239999999999995</v>
      </c>
      <c r="E17" s="38">
        <v>2618</v>
      </c>
      <c r="F17" s="38">
        <v>55.91</v>
      </c>
      <c r="H17" s="53">
        <v>2782</v>
      </c>
      <c r="I17" s="53">
        <v>64.45</v>
      </c>
      <c r="K17" s="38">
        <v>2464</v>
      </c>
      <c r="L17" s="53">
        <v>62.04</v>
      </c>
      <c r="Q17" s="53">
        <v>1627</v>
      </c>
      <c r="R17" s="53">
        <v>64.760000000000005</v>
      </c>
      <c r="T17" s="53">
        <v>1986</v>
      </c>
      <c r="U17" s="53">
        <v>65.77</v>
      </c>
      <c r="W17" s="38">
        <v>2750</v>
      </c>
      <c r="X17" s="38">
        <v>64.89</v>
      </c>
      <c r="Z17" s="53">
        <v>1733</v>
      </c>
      <c r="AA17" s="53">
        <v>62.63</v>
      </c>
      <c r="AF17" s="53">
        <v>1746</v>
      </c>
      <c r="AG17" s="53">
        <v>57.08</v>
      </c>
      <c r="AI17" s="38">
        <v>2623</v>
      </c>
      <c r="AJ17" s="38">
        <v>66.83</v>
      </c>
      <c r="AN17" s="13" t="s">
        <v>119</v>
      </c>
      <c r="AO17" s="40">
        <v>1882</v>
      </c>
      <c r="AP17" s="40">
        <v>56.55</v>
      </c>
      <c r="AR17" s="38">
        <v>3118</v>
      </c>
      <c r="AS17" s="38">
        <v>65.56</v>
      </c>
      <c r="AT17" s="13" t="s">
        <v>357</v>
      </c>
      <c r="AU17" s="40">
        <v>2196</v>
      </c>
      <c r="AV17" s="40">
        <v>65.06</v>
      </c>
      <c r="AX17" s="53">
        <v>1493</v>
      </c>
      <c r="AY17" s="53">
        <v>66.510000000000005</v>
      </c>
      <c r="BA17" s="38">
        <v>2018</v>
      </c>
      <c r="BB17" s="53">
        <v>64.95</v>
      </c>
      <c r="BD17" s="53">
        <v>1839</v>
      </c>
      <c r="BE17" s="53">
        <v>63.19</v>
      </c>
      <c r="BG17" s="38">
        <v>2038</v>
      </c>
      <c r="BH17" s="38">
        <v>60.04</v>
      </c>
      <c r="BJ17" s="38">
        <v>2044</v>
      </c>
      <c r="BK17" s="53">
        <v>67.14</v>
      </c>
      <c r="BL17" s="13" t="s">
        <v>360</v>
      </c>
      <c r="BM17" s="40">
        <v>2021</v>
      </c>
      <c r="BN17" s="40">
        <v>59.42</v>
      </c>
      <c r="BP17" s="53">
        <v>2214</v>
      </c>
      <c r="BQ17" s="53">
        <v>59.61</v>
      </c>
    </row>
    <row r="18" spans="1:69" x14ac:dyDescent="0.35">
      <c r="B18" s="38">
        <v>2869</v>
      </c>
      <c r="C18" s="38">
        <v>64.099999999999994</v>
      </c>
      <c r="E18" s="38">
        <v>2741</v>
      </c>
      <c r="F18" s="38">
        <v>56.85</v>
      </c>
      <c r="H18" s="53">
        <v>2860</v>
      </c>
      <c r="I18" s="53">
        <v>64.92</v>
      </c>
      <c r="K18" s="38">
        <v>2687</v>
      </c>
      <c r="L18" s="53">
        <v>60.05</v>
      </c>
      <c r="Q18" s="53">
        <v>1705</v>
      </c>
      <c r="R18" s="53">
        <v>64.33</v>
      </c>
      <c r="T18" s="53">
        <v>2123</v>
      </c>
      <c r="U18" s="53">
        <v>66.739999999999995</v>
      </c>
      <c r="W18" s="38">
        <v>3255</v>
      </c>
      <c r="X18" s="38">
        <v>65</v>
      </c>
      <c r="Z18" s="53">
        <v>1849</v>
      </c>
      <c r="AA18" s="53">
        <v>64.33</v>
      </c>
      <c r="AF18" s="53">
        <v>1882</v>
      </c>
      <c r="AG18" s="53">
        <v>56.27</v>
      </c>
      <c r="AI18" s="38">
        <v>2826</v>
      </c>
      <c r="AJ18" s="38">
        <v>65.760000000000005</v>
      </c>
      <c r="AN18" s="13" t="s">
        <v>119</v>
      </c>
      <c r="AO18" s="40">
        <v>1959</v>
      </c>
      <c r="AP18" s="40">
        <v>56.58</v>
      </c>
      <c r="AR18" s="38">
        <v>3360</v>
      </c>
      <c r="AS18" s="38">
        <v>68.08</v>
      </c>
      <c r="AU18" s="38">
        <v>2263</v>
      </c>
      <c r="AV18" s="38">
        <v>65.930000000000007</v>
      </c>
      <c r="AX18" s="53">
        <v>1573</v>
      </c>
      <c r="AY18" s="53">
        <v>67.14</v>
      </c>
      <c r="BA18" s="38">
        <v>2317</v>
      </c>
      <c r="BB18" s="53">
        <v>65.16</v>
      </c>
      <c r="BD18" s="53">
        <v>1988</v>
      </c>
      <c r="BE18" s="53">
        <v>64.48</v>
      </c>
      <c r="BG18" s="38">
        <v>2144</v>
      </c>
      <c r="BH18" s="38">
        <v>60.45</v>
      </c>
      <c r="BJ18" s="38">
        <v>2231</v>
      </c>
      <c r="BK18" s="53">
        <v>67.400000000000006</v>
      </c>
      <c r="BM18" s="38">
        <v>2117</v>
      </c>
      <c r="BN18" s="38">
        <v>60.16</v>
      </c>
      <c r="BP18" s="53">
        <v>2600</v>
      </c>
      <c r="BQ18" s="53">
        <v>60.16</v>
      </c>
    </row>
    <row r="19" spans="1:69" x14ac:dyDescent="0.35">
      <c r="B19" s="38">
        <v>3305</v>
      </c>
      <c r="C19" s="38">
        <v>63.65</v>
      </c>
      <c r="E19" s="38">
        <v>2906</v>
      </c>
      <c r="F19" s="38">
        <v>58.16</v>
      </c>
      <c r="H19" s="53">
        <v>3093</v>
      </c>
      <c r="I19" s="53">
        <v>65.22</v>
      </c>
      <c r="K19" s="38">
        <v>2804</v>
      </c>
      <c r="L19" s="53">
        <v>65.209999999999994</v>
      </c>
      <c r="Q19" s="53">
        <v>1771</v>
      </c>
      <c r="R19" s="53">
        <v>63.41</v>
      </c>
      <c r="T19" s="53">
        <v>1367</v>
      </c>
      <c r="U19" s="53">
        <v>66.099999999999994</v>
      </c>
      <c r="W19" s="38">
        <v>3852</v>
      </c>
      <c r="X19" s="38">
        <v>65.16</v>
      </c>
      <c r="Z19" s="53">
        <v>1971</v>
      </c>
      <c r="AA19" s="53">
        <v>66.290000000000006</v>
      </c>
      <c r="AF19" s="53">
        <v>2115</v>
      </c>
      <c r="AG19" s="38">
        <v>50.56</v>
      </c>
      <c r="AI19" s="38">
        <v>2996</v>
      </c>
      <c r="AJ19" s="38">
        <v>65.400000000000006</v>
      </c>
      <c r="AO19" s="53">
        <v>2281</v>
      </c>
      <c r="AP19" s="53">
        <v>61.73</v>
      </c>
      <c r="AR19" s="38">
        <v>3659</v>
      </c>
      <c r="AS19" s="38">
        <v>66.89</v>
      </c>
      <c r="AU19" s="38">
        <v>2479</v>
      </c>
      <c r="AV19" s="38">
        <v>67.13</v>
      </c>
      <c r="AX19" s="53">
        <v>1760</v>
      </c>
      <c r="AY19" s="53">
        <v>67.400000000000006</v>
      </c>
      <c r="BA19" s="38">
        <v>2544</v>
      </c>
      <c r="BB19" s="53">
        <v>65.77</v>
      </c>
      <c r="BD19" s="53">
        <v>2091</v>
      </c>
      <c r="BE19" s="53">
        <v>64.47</v>
      </c>
      <c r="BF19" s="13" t="s">
        <v>361</v>
      </c>
      <c r="BG19" s="15">
        <v>2235</v>
      </c>
      <c r="BH19" s="15">
        <v>58.78</v>
      </c>
      <c r="BJ19" s="38">
        <v>2558</v>
      </c>
      <c r="BK19" s="53">
        <v>67.010000000000005</v>
      </c>
      <c r="BM19" s="38">
        <v>2230</v>
      </c>
      <c r="BN19" s="38">
        <v>59.25</v>
      </c>
      <c r="BP19" s="53">
        <v>3033</v>
      </c>
      <c r="BQ19" s="53">
        <v>60.15</v>
      </c>
    </row>
    <row r="20" spans="1:69" x14ac:dyDescent="0.35">
      <c r="B20" s="38">
        <v>3480</v>
      </c>
      <c r="C20" s="38">
        <v>65.66</v>
      </c>
      <c r="D20" s="13" t="s">
        <v>64</v>
      </c>
      <c r="E20" s="40">
        <v>3025</v>
      </c>
      <c r="F20" s="40">
        <v>50.9</v>
      </c>
      <c r="H20" s="53">
        <v>3406</v>
      </c>
      <c r="I20" s="53">
        <v>62.04</v>
      </c>
      <c r="K20" s="38">
        <v>2921</v>
      </c>
      <c r="L20" s="53">
        <v>63.12</v>
      </c>
      <c r="P20" s="13" t="s">
        <v>110</v>
      </c>
      <c r="Q20" s="40">
        <v>1876</v>
      </c>
      <c r="R20" s="40">
        <v>62.32</v>
      </c>
      <c r="T20" s="53">
        <v>2644</v>
      </c>
      <c r="U20" s="53">
        <v>66.19</v>
      </c>
      <c r="W20" s="38">
        <v>4083</v>
      </c>
      <c r="X20" s="38">
        <v>65.03</v>
      </c>
      <c r="Z20" s="53">
        <v>2124</v>
      </c>
      <c r="AA20" s="53">
        <v>65.44</v>
      </c>
      <c r="AF20" s="53">
        <v>2208</v>
      </c>
      <c r="AG20" s="53">
        <v>52.64</v>
      </c>
      <c r="AI20" s="38">
        <v>3134</v>
      </c>
      <c r="AJ20" s="38">
        <v>65.55</v>
      </c>
      <c r="AO20" s="53">
        <v>2493</v>
      </c>
      <c r="AP20" s="53">
        <v>63.97</v>
      </c>
      <c r="AR20" s="38">
        <v>3817</v>
      </c>
      <c r="AS20" s="38">
        <v>67.78</v>
      </c>
      <c r="AU20" s="38">
        <v>2685</v>
      </c>
      <c r="AV20" s="38">
        <v>66.430000000000007</v>
      </c>
      <c r="AX20" s="53">
        <v>2087</v>
      </c>
      <c r="AY20" s="53">
        <v>67.010000000000005</v>
      </c>
      <c r="BA20" s="38">
        <v>2681</v>
      </c>
      <c r="BB20" s="53">
        <v>66.739999999999995</v>
      </c>
      <c r="BD20" s="53">
        <v>2147</v>
      </c>
      <c r="BE20" s="53">
        <v>63.93</v>
      </c>
      <c r="BG20" s="38">
        <v>2331</v>
      </c>
      <c r="BH20" s="38">
        <v>60.16</v>
      </c>
      <c r="BJ20" s="38">
        <v>2893</v>
      </c>
      <c r="BK20" s="53">
        <v>67.39</v>
      </c>
      <c r="BM20" s="38">
        <v>2330</v>
      </c>
      <c r="BN20" s="38">
        <v>58.63</v>
      </c>
      <c r="BP20" s="53">
        <v>3296</v>
      </c>
      <c r="BQ20" s="53">
        <v>59.87</v>
      </c>
    </row>
    <row r="21" spans="1:69" x14ac:dyDescent="0.35">
      <c r="B21" s="38">
        <v>3631</v>
      </c>
      <c r="C21" s="38">
        <v>65.400000000000006</v>
      </c>
      <c r="E21" s="40">
        <v>3058</v>
      </c>
      <c r="F21" s="40">
        <v>51.6</v>
      </c>
      <c r="H21" s="53">
        <v>3629</v>
      </c>
      <c r="I21" s="53">
        <v>60.05</v>
      </c>
      <c r="K21" s="38">
        <v>3049</v>
      </c>
      <c r="L21" s="53">
        <v>63.22</v>
      </c>
      <c r="Q21" s="53">
        <v>2087</v>
      </c>
      <c r="R21" s="53">
        <v>62.25</v>
      </c>
      <c r="T21" s="53">
        <v>2878</v>
      </c>
      <c r="U21" s="53">
        <v>65.3</v>
      </c>
      <c r="W21" s="38">
        <v>4222</v>
      </c>
      <c r="X21" s="38">
        <v>65.17</v>
      </c>
      <c r="Z21" s="53">
        <v>2407</v>
      </c>
      <c r="AA21" s="53">
        <v>64.5</v>
      </c>
      <c r="AF21" s="53">
        <v>2353</v>
      </c>
      <c r="AG21" s="53">
        <v>55.58</v>
      </c>
      <c r="AI21" s="38">
        <v>3652</v>
      </c>
      <c r="AJ21" s="38">
        <v>65.23</v>
      </c>
      <c r="AO21" s="53">
        <v>2730</v>
      </c>
      <c r="AP21" s="53">
        <v>65.45</v>
      </c>
      <c r="AR21" s="38">
        <v>3946</v>
      </c>
      <c r="AS21" s="38">
        <v>67.540000000000006</v>
      </c>
      <c r="AU21" s="38">
        <v>2817</v>
      </c>
      <c r="AV21" s="38">
        <v>66.41</v>
      </c>
      <c r="AX21" s="53">
        <v>2422</v>
      </c>
      <c r="AY21" s="53">
        <v>67.39</v>
      </c>
      <c r="BA21" s="38">
        <v>1925</v>
      </c>
      <c r="BB21" s="53">
        <v>66.099999999999994</v>
      </c>
      <c r="BD21" s="53">
        <v>2197</v>
      </c>
      <c r="BE21" s="53">
        <v>62.95</v>
      </c>
      <c r="BG21" s="38">
        <v>2444</v>
      </c>
      <c r="BH21" s="38">
        <v>59.25</v>
      </c>
      <c r="BJ21" s="38">
        <v>3060</v>
      </c>
      <c r="BK21" s="53">
        <v>66.739999999999995</v>
      </c>
      <c r="BM21" s="38">
        <v>2507</v>
      </c>
      <c r="BN21" s="38">
        <v>58.77</v>
      </c>
      <c r="BP21" s="53">
        <v>3499</v>
      </c>
      <c r="BQ21" s="53">
        <v>57.91</v>
      </c>
    </row>
    <row r="22" spans="1:69" x14ac:dyDescent="0.35">
      <c r="B22" s="38">
        <v>3802</v>
      </c>
      <c r="C22" s="38">
        <v>64.48</v>
      </c>
      <c r="E22" s="38">
        <v>3144</v>
      </c>
      <c r="F22" s="38">
        <v>53.99</v>
      </c>
      <c r="H22" s="53">
        <v>3746</v>
      </c>
      <c r="I22" s="53">
        <v>65.209999999999994</v>
      </c>
      <c r="K22" s="38">
        <v>3136</v>
      </c>
      <c r="L22" s="53">
        <v>62.97</v>
      </c>
      <c r="Q22" s="53">
        <v>2158</v>
      </c>
      <c r="R22" s="53">
        <v>64.010000000000005</v>
      </c>
      <c r="T22" s="53">
        <v>3059</v>
      </c>
      <c r="U22" s="53">
        <v>66.34</v>
      </c>
      <c r="W22" s="38">
        <v>4458</v>
      </c>
      <c r="X22" s="38">
        <v>65.23</v>
      </c>
      <c r="Z22" s="53">
        <v>2559</v>
      </c>
      <c r="AA22" s="53">
        <v>64.7</v>
      </c>
      <c r="AF22" s="53">
        <v>2441</v>
      </c>
      <c r="AG22" s="38">
        <v>56.5</v>
      </c>
      <c r="AI22" s="38">
        <v>3701</v>
      </c>
      <c r="AJ22" s="38">
        <v>64.680000000000007</v>
      </c>
      <c r="AO22" s="53">
        <v>2797</v>
      </c>
      <c r="AP22" s="53">
        <v>65.569999999999993</v>
      </c>
      <c r="AR22" s="38">
        <v>4041</v>
      </c>
      <c r="AS22" s="38">
        <v>66.78</v>
      </c>
      <c r="AU22" s="38">
        <v>3241</v>
      </c>
      <c r="AV22" s="38">
        <v>65.489999999999995</v>
      </c>
      <c r="AX22" s="53">
        <v>2589</v>
      </c>
      <c r="AY22" s="53">
        <v>66.739999999999995</v>
      </c>
      <c r="BA22" s="38">
        <v>3202</v>
      </c>
      <c r="BB22" s="53">
        <v>66.19</v>
      </c>
      <c r="BC22" s="19" t="s">
        <v>234</v>
      </c>
      <c r="BD22" s="9">
        <v>2360</v>
      </c>
      <c r="BE22" s="9">
        <v>62.26</v>
      </c>
      <c r="BG22" s="38">
        <v>2544</v>
      </c>
      <c r="BH22" s="38">
        <v>58.63</v>
      </c>
      <c r="BI22" s="19" t="s">
        <v>110</v>
      </c>
      <c r="BJ22" s="9">
        <v>3277</v>
      </c>
      <c r="BK22" s="9">
        <v>65.28</v>
      </c>
      <c r="BM22" s="38">
        <v>2631</v>
      </c>
      <c r="BN22" s="38">
        <v>57.06</v>
      </c>
      <c r="BP22" s="53">
        <v>3625</v>
      </c>
      <c r="BQ22" s="53">
        <v>57.15</v>
      </c>
    </row>
    <row r="23" spans="1:69" x14ac:dyDescent="0.35">
      <c r="B23" s="38">
        <v>4164</v>
      </c>
      <c r="C23" s="38">
        <v>59.46</v>
      </c>
      <c r="E23" s="38">
        <v>3217</v>
      </c>
      <c r="F23" s="38">
        <v>58.26</v>
      </c>
      <c r="H23" s="53">
        <v>3863</v>
      </c>
      <c r="I23" s="53">
        <v>63.12</v>
      </c>
      <c r="K23" s="38">
        <v>3377</v>
      </c>
      <c r="L23" s="53">
        <v>61.29</v>
      </c>
      <c r="Q23" s="53">
        <v>2342</v>
      </c>
      <c r="R23" s="53">
        <v>67.73</v>
      </c>
      <c r="T23" s="53">
        <v>3384</v>
      </c>
      <c r="U23" s="53">
        <v>66.739999999999995</v>
      </c>
      <c r="W23" s="38">
        <v>4743</v>
      </c>
      <c r="X23" s="38">
        <v>66.34</v>
      </c>
      <c r="Z23" s="53">
        <v>2729</v>
      </c>
      <c r="AA23" s="53">
        <v>66.13</v>
      </c>
      <c r="AF23" s="53">
        <v>2631</v>
      </c>
      <c r="AG23" s="53">
        <v>57.93</v>
      </c>
      <c r="AI23" s="38">
        <v>3881</v>
      </c>
      <c r="AJ23" s="38">
        <v>64.14</v>
      </c>
      <c r="AO23" s="53">
        <v>2921</v>
      </c>
      <c r="AP23" s="53">
        <v>65.599999999999994</v>
      </c>
      <c r="AR23" s="38">
        <v>4204</v>
      </c>
      <c r="AS23" s="38">
        <v>68.150000000000006</v>
      </c>
      <c r="AU23" s="38">
        <v>3680</v>
      </c>
      <c r="AV23" s="38">
        <v>64.84</v>
      </c>
      <c r="AW23" s="19" t="s">
        <v>110</v>
      </c>
      <c r="AX23" s="9">
        <v>2806</v>
      </c>
      <c r="AY23" s="9">
        <v>65.28</v>
      </c>
      <c r="BA23" s="38">
        <v>3436</v>
      </c>
      <c r="BB23" s="53">
        <v>65.3</v>
      </c>
      <c r="BG23" s="38">
        <v>2721</v>
      </c>
      <c r="BH23" s="38">
        <v>58.77</v>
      </c>
      <c r="BJ23" s="38">
        <v>3680</v>
      </c>
      <c r="BK23" s="53">
        <v>64.84</v>
      </c>
      <c r="BM23" s="38">
        <v>2792</v>
      </c>
      <c r="BN23" s="38">
        <v>62.89</v>
      </c>
      <c r="BP23" s="53">
        <v>3788</v>
      </c>
      <c r="BQ23" s="53">
        <v>57.94</v>
      </c>
    </row>
    <row r="24" spans="1:69" x14ac:dyDescent="0.35">
      <c r="B24" s="38">
        <v>4309</v>
      </c>
      <c r="C24" s="38">
        <v>62.87</v>
      </c>
      <c r="E24" s="38">
        <v>3305</v>
      </c>
      <c r="F24" s="38">
        <v>58.57</v>
      </c>
      <c r="H24" s="53">
        <v>3991</v>
      </c>
      <c r="I24" s="53">
        <v>63.22</v>
      </c>
      <c r="K24" s="38">
        <v>3684</v>
      </c>
      <c r="L24" s="53">
        <v>61.76</v>
      </c>
      <c r="Q24" s="53">
        <v>2474</v>
      </c>
      <c r="R24" s="53">
        <v>65.44</v>
      </c>
      <c r="T24" s="53">
        <v>3511</v>
      </c>
      <c r="U24" s="53">
        <v>65.680000000000007</v>
      </c>
      <c r="W24" s="38">
        <v>4973</v>
      </c>
      <c r="X24" s="38">
        <v>65.37</v>
      </c>
      <c r="Z24" s="53">
        <v>2980</v>
      </c>
      <c r="AA24" s="53">
        <v>64.790000000000006</v>
      </c>
      <c r="AF24" s="53">
        <v>2960</v>
      </c>
      <c r="AG24" s="53">
        <v>59.65</v>
      </c>
      <c r="AI24" s="38">
        <v>4149</v>
      </c>
      <c r="AJ24" s="38">
        <v>64.48</v>
      </c>
      <c r="AO24" s="53">
        <v>2989</v>
      </c>
      <c r="AP24" s="53">
        <v>65.55</v>
      </c>
      <c r="AR24" s="38">
        <v>4520</v>
      </c>
      <c r="AS24" s="38">
        <v>69.06</v>
      </c>
      <c r="AU24" s="38">
        <v>3798</v>
      </c>
      <c r="AV24" s="38">
        <v>64.7</v>
      </c>
      <c r="AX24" s="53">
        <v>3209</v>
      </c>
      <c r="AY24" s="53">
        <v>64.84</v>
      </c>
      <c r="BA24" s="38">
        <v>3617</v>
      </c>
      <c r="BB24" s="53">
        <v>66.34</v>
      </c>
      <c r="BG24" s="38">
        <v>2845</v>
      </c>
      <c r="BH24" s="38">
        <v>57.06</v>
      </c>
      <c r="BJ24" s="38">
        <v>3957</v>
      </c>
      <c r="BK24" s="53">
        <v>64.680000000000007</v>
      </c>
      <c r="BM24" s="38">
        <v>2976</v>
      </c>
      <c r="BN24" s="38">
        <v>62.27</v>
      </c>
      <c r="BP24" s="53">
        <v>3936</v>
      </c>
      <c r="BQ24" s="53">
        <v>54.61</v>
      </c>
    </row>
    <row r="25" spans="1:69" x14ac:dyDescent="0.35">
      <c r="B25" s="38">
        <v>4412</v>
      </c>
      <c r="C25" s="38">
        <v>62.72</v>
      </c>
      <c r="E25" s="38">
        <v>3458</v>
      </c>
      <c r="F25" s="38">
        <v>56.78</v>
      </c>
      <c r="H25" s="53">
        <v>4078</v>
      </c>
      <c r="I25" s="53">
        <v>62.97</v>
      </c>
      <c r="J25" s="13" t="s">
        <v>64</v>
      </c>
      <c r="K25" s="15">
        <v>3821</v>
      </c>
      <c r="L25" s="15">
        <v>52.62</v>
      </c>
      <c r="Q25" s="53">
        <v>2686</v>
      </c>
      <c r="R25" s="53">
        <v>63.73</v>
      </c>
      <c r="T25" s="53">
        <v>3789</v>
      </c>
      <c r="U25" s="53">
        <v>64.55</v>
      </c>
      <c r="W25" s="38">
        <v>5152</v>
      </c>
      <c r="X25" s="38">
        <v>67.31</v>
      </c>
      <c r="Z25" s="53">
        <v>3067</v>
      </c>
      <c r="AA25" s="53">
        <v>64.489999999999995</v>
      </c>
      <c r="AF25" s="53">
        <v>3063</v>
      </c>
      <c r="AG25" s="53">
        <v>59.91</v>
      </c>
      <c r="AI25" s="38">
        <v>4361</v>
      </c>
      <c r="AJ25" s="38">
        <v>64.989999999999995</v>
      </c>
      <c r="AO25" s="53">
        <v>3082</v>
      </c>
      <c r="AP25" s="53">
        <v>64.89</v>
      </c>
      <c r="AR25" s="38">
        <v>4848</v>
      </c>
      <c r="AS25" s="38">
        <v>69.209999999999994</v>
      </c>
      <c r="AU25" s="38">
        <v>4108</v>
      </c>
      <c r="AV25" s="38">
        <v>64.239999999999995</v>
      </c>
      <c r="AX25" s="53">
        <v>3486</v>
      </c>
      <c r="AY25" s="53">
        <v>64.680000000000007</v>
      </c>
      <c r="BA25" s="38">
        <v>3942</v>
      </c>
      <c r="BB25" s="53">
        <v>66.739999999999995</v>
      </c>
      <c r="BG25" s="38">
        <v>3006</v>
      </c>
      <c r="BH25" s="38">
        <v>62.89</v>
      </c>
      <c r="BJ25" s="38">
        <v>4135</v>
      </c>
      <c r="BK25" s="53">
        <v>64.13</v>
      </c>
      <c r="BM25" s="38">
        <v>3237</v>
      </c>
      <c r="BN25" s="38">
        <v>62.42</v>
      </c>
      <c r="BO25" s="19" t="s">
        <v>351</v>
      </c>
      <c r="BP25" s="39">
        <v>4000</v>
      </c>
      <c r="BQ25" s="39">
        <v>46.83</v>
      </c>
    </row>
    <row r="26" spans="1:69" x14ac:dyDescent="0.35">
      <c r="B26" s="38">
        <v>4487</v>
      </c>
      <c r="C26" s="38">
        <v>62.99</v>
      </c>
      <c r="E26" s="38">
        <v>3583</v>
      </c>
      <c r="F26" s="38">
        <v>59.64</v>
      </c>
      <c r="H26" s="53">
        <v>4319</v>
      </c>
      <c r="I26" s="53">
        <v>61.29</v>
      </c>
      <c r="K26" s="15">
        <v>3854</v>
      </c>
      <c r="L26" s="15">
        <v>53.51</v>
      </c>
      <c r="Q26" s="53">
        <v>2755</v>
      </c>
      <c r="R26" s="53">
        <v>64.5</v>
      </c>
      <c r="T26" s="53">
        <v>3931</v>
      </c>
      <c r="U26" s="53">
        <v>65.06</v>
      </c>
      <c r="W26" s="38">
        <v>5469</v>
      </c>
      <c r="X26" s="38">
        <v>66.41</v>
      </c>
      <c r="Z26" s="53">
        <v>3073</v>
      </c>
      <c r="AA26" s="53">
        <v>64.489999999999995</v>
      </c>
      <c r="AF26" s="53">
        <v>3300</v>
      </c>
      <c r="AG26" s="53">
        <v>59.61</v>
      </c>
      <c r="AI26" s="38">
        <v>4508</v>
      </c>
      <c r="AJ26" s="38">
        <v>64.349999999999994</v>
      </c>
      <c r="AO26" s="53">
        <v>3226</v>
      </c>
      <c r="AP26" s="53">
        <v>62.24</v>
      </c>
      <c r="AR26" s="38">
        <v>4916</v>
      </c>
      <c r="AS26" s="38">
        <v>68.900000000000006</v>
      </c>
      <c r="AU26" s="38">
        <v>4303</v>
      </c>
      <c r="AV26" s="38">
        <v>64.099999999999994</v>
      </c>
      <c r="AX26" s="53">
        <v>3664</v>
      </c>
      <c r="AY26" s="53">
        <v>64.13</v>
      </c>
      <c r="BA26" s="38">
        <v>4069</v>
      </c>
      <c r="BB26" s="53">
        <v>65.680000000000007</v>
      </c>
      <c r="BG26" s="38">
        <v>3190</v>
      </c>
      <c r="BH26" s="38">
        <v>62.27</v>
      </c>
      <c r="BJ26" s="38">
        <v>4299</v>
      </c>
      <c r="BK26" s="53">
        <v>64.5</v>
      </c>
      <c r="BM26" s="38">
        <v>3391</v>
      </c>
      <c r="BN26" s="38">
        <v>62.45</v>
      </c>
      <c r="BP26" s="53">
        <v>4070</v>
      </c>
      <c r="BQ26" s="53">
        <v>48.87</v>
      </c>
    </row>
    <row r="27" spans="1:69" x14ac:dyDescent="0.35">
      <c r="B27" s="38">
        <v>4547</v>
      </c>
      <c r="C27" s="38">
        <v>62.58</v>
      </c>
      <c r="E27" s="38">
        <v>3690</v>
      </c>
      <c r="F27" s="38">
        <v>60.59</v>
      </c>
      <c r="H27" s="53">
        <v>4626</v>
      </c>
      <c r="I27" s="53">
        <v>61.76</v>
      </c>
      <c r="K27" s="38">
        <v>4053</v>
      </c>
      <c r="L27" s="53">
        <v>54.71</v>
      </c>
      <c r="Q27" s="53">
        <v>2904</v>
      </c>
      <c r="R27" s="53">
        <v>64.739999999999995</v>
      </c>
      <c r="T27" s="53">
        <v>4120</v>
      </c>
      <c r="U27" s="53">
        <v>65.73</v>
      </c>
      <c r="W27" s="38">
        <v>5864</v>
      </c>
      <c r="X27" s="38">
        <v>64.92</v>
      </c>
      <c r="Z27" s="53">
        <v>3371</v>
      </c>
      <c r="AA27" s="53">
        <v>61.51</v>
      </c>
      <c r="AF27" s="53">
        <v>3495</v>
      </c>
      <c r="AG27" s="53">
        <v>59.38</v>
      </c>
      <c r="AI27" s="38">
        <v>4574</v>
      </c>
      <c r="AJ27" s="38">
        <v>64.599999999999994</v>
      </c>
      <c r="AO27" s="53">
        <v>3345</v>
      </c>
      <c r="AP27" s="53">
        <v>61.53</v>
      </c>
      <c r="AQ27" s="19" t="s">
        <v>110</v>
      </c>
      <c r="AR27" s="39">
        <v>5142</v>
      </c>
      <c r="AS27" s="39">
        <v>64.430000000000007</v>
      </c>
      <c r="AU27" s="38">
        <v>4739</v>
      </c>
      <c r="AV27" s="38">
        <v>63.65</v>
      </c>
      <c r="AX27" s="53">
        <v>3828</v>
      </c>
      <c r="AY27" s="53">
        <v>64.5</v>
      </c>
      <c r="BA27" s="38">
        <v>4347</v>
      </c>
      <c r="BB27" s="53">
        <v>64.55</v>
      </c>
      <c r="BG27" s="38">
        <v>3451</v>
      </c>
      <c r="BH27" s="38">
        <v>62.42</v>
      </c>
      <c r="BJ27" s="38">
        <v>4392</v>
      </c>
      <c r="BK27" s="53">
        <v>64.36</v>
      </c>
      <c r="BM27" s="38">
        <v>3703</v>
      </c>
      <c r="BN27" s="38">
        <v>65.72</v>
      </c>
      <c r="BP27" s="53">
        <v>4162</v>
      </c>
      <c r="BQ27" s="53">
        <v>49.8</v>
      </c>
    </row>
    <row r="28" spans="1:69" x14ac:dyDescent="0.35">
      <c r="B28" s="38">
        <v>4795</v>
      </c>
      <c r="C28" s="38">
        <v>62.52</v>
      </c>
      <c r="E28" s="38">
        <v>3744</v>
      </c>
      <c r="F28" s="38">
        <v>62.15</v>
      </c>
      <c r="G28" s="19" t="s">
        <v>64</v>
      </c>
      <c r="H28" s="39">
        <v>4763</v>
      </c>
      <c r="I28" s="39">
        <v>52.62</v>
      </c>
      <c r="K28" s="38">
        <v>4079</v>
      </c>
      <c r="L28" s="53">
        <v>59.88</v>
      </c>
      <c r="Q28" s="53">
        <v>3065</v>
      </c>
      <c r="R28" s="53">
        <v>65.849999999999994</v>
      </c>
      <c r="T28" s="53">
        <v>4460</v>
      </c>
      <c r="U28" s="53">
        <v>64.489999999999995</v>
      </c>
      <c r="W28" s="38">
        <v>6002</v>
      </c>
      <c r="X28" s="38">
        <v>64.84</v>
      </c>
      <c r="Y28" s="19" t="s">
        <v>234</v>
      </c>
      <c r="Z28" s="39">
        <v>3440</v>
      </c>
      <c r="AA28" s="39">
        <v>62.32</v>
      </c>
      <c r="AF28" s="53">
        <v>3740</v>
      </c>
      <c r="AG28" s="53">
        <v>57.4</v>
      </c>
      <c r="AI28" s="38">
        <v>4785</v>
      </c>
      <c r="AJ28" s="38">
        <v>64.010000000000005</v>
      </c>
      <c r="AO28" s="53">
        <v>3522</v>
      </c>
      <c r="AP28" s="53">
        <v>61.24</v>
      </c>
      <c r="AR28" s="38">
        <v>5224</v>
      </c>
      <c r="AS28" s="38">
        <v>64.98</v>
      </c>
      <c r="AU28" s="38">
        <v>4914</v>
      </c>
      <c r="AV28" s="38">
        <v>65.66</v>
      </c>
      <c r="AX28" s="53">
        <v>3921</v>
      </c>
      <c r="AY28" s="53">
        <v>64.36</v>
      </c>
      <c r="BA28" s="38">
        <v>4489</v>
      </c>
      <c r="BB28" s="53">
        <v>65.06</v>
      </c>
      <c r="BG28" s="38">
        <v>3605</v>
      </c>
      <c r="BH28" s="38">
        <v>62.45</v>
      </c>
      <c r="BJ28" s="38">
        <v>4540</v>
      </c>
      <c r="BK28" s="53">
        <v>63.89</v>
      </c>
      <c r="BL28" s="13" t="s">
        <v>64</v>
      </c>
      <c r="BM28" s="40">
        <v>3835</v>
      </c>
      <c r="BN28" s="40">
        <v>56.5</v>
      </c>
      <c r="BP28" s="53">
        <v>4259</v>
      </c>
      <c r="BQ28" s="53">
        <v>51.33</v>
      </c>
    </row>
    <row r="29" spans="1:69" x14ac:dyDescent="0.35">
      <c r="B29" s="38">
        <v>5098</v>
      </c>
      <c r="C29" s="38">
        <v>61.38</v>
      </c>
      <c r="E29" s="38">
        <v>3946</v>
      </c>
      <c r="F29" s="38">
        <v>60.08</v>
      </c>
      <c r="H29" s="39">
        <v>4796</v>
      </c>
      <c r="I29" s="39">
        <v>53.51</v>
      </c>
      <c r="K29" s="38">
        <v>4433</v>
      </c>
      <c r="L29" s="53">
        <v>64.52</v>
      </c>
      <c r="Q29" s="53">
        <v>3249</v>
      </c>
      <c r="R29" s="53">
        <v>66.28</v>
      </c>
      <c r="S29" s="19" t="s">
        <v>234</v>
      </c>
      <c r="T29" s="9">
        <v>4818</v>
      </c>
      <c r="U29" s="9">
        <v>62.18</v>
      </c>
      <c r="W29" s="38">
        <v>6175</v>
      </c>
      <c r="X29" s="38">
        <v>66.599999999999994</v>
      </c>
      <c r="AF29" s="53">
        <v>4008</v>
      </c>
      <c r="AG29" s="53">
        <v>58.76</v>
      </c>
      <c r="AI29" s="38">
        <v>5128</v>
      </c>
      <c r="AJ29" s="38">
        <v>62.04</v>
      </c>
      <c r="AO29" s="53">
        <v>3570</v>
      </c>
      <c r="AP29" s="53">
        <v>60.38</v>
      </c>
      <c r="AR29" s="38">
        <v>5317</v>
      </c>
      <c r="AS29" s="38">
        <v>65.03</v>
      </c>
      <c r="AU29" s="38">
        <v>5065</v>
      </c>
      <c r="AV29" s="38">
        <v>65.400000000000006</v>
      </c>
      <c r="AX29" s="53">
        <v>4069</v>
      </c>
      <c r="AY29" s="53">
        <v>63.89</v>
      </c>
      <c r="BA29" s="38">
        <v>4678</v>
      </c>
      <c r="BB29" s="53">
        <v>65.73</v>
      </c>
      <c r="BG29" s="38">
        <v>3917</v>
      </c>
      <c r="BH29" s="38">
        <v>65.72</v>
      </c>
      <c r="BJ29" s="38">
        <v>4759</v>
      </c>
      <c r="BK29" s="53">
        <v>64.58</v>
      </c>
      <c r="BL29" s="77"/>
      <c r="BM29" s="38">
        <v>3902</v>
      </c>
      <c r="BN29" s="38">
        <v>58.1</v>
      </c>
      <c r="BP29" s="53">
        <v>4336</v>
      </c>
      <c r="BQ29" s="53">
        <v>54.65</v>
      </c>
    </row>
    <row r="30" spans="1:69" x14ac:dyDescent="0.35">
      <c r="A30" s="19" t="s">
        <v>64</v>
      </c>
      <c r="B30" s="39">
        <v>5255</v>
      </c>
      <c r="C30" s="39">
        <v>51.9</v>
      </c>
      <c r="D30" s="13" t="s">
        <v>234</v>
      </c>
      <c r="E30" s="40">
        <v>4089</v>
      </c>
      <c r="F30" s="40">
        <v>62.47</v>
      </c>
      <c r="H30" s="53">
        <v>4995</v>
      </c>
      <c r="I30" s="53">
        <v>54.71</v>
      </c>
      <c r="K30" s="38">
        <v>4548</v>
      </c>
      <c r="L30" s="53">
        <v>64.47</v>
      </c>
      <c r="Q30" s="53">
        <v>3596</v>
      </c>
      <c r="R30" s="53">
        <v>61.74</v>
      </c>
      <c r="W30" s="38">
        <v>6222</v>
      </c>
      <c r="X30" s="38">
        <v>66.319999999999993</v>
      </c>
      <c r="AF30" s="53">
        <v>4206</v>
      </c>
      <c r="AG30" s="53">
        <v>57.44</v>
      </c>
      <c r="AI30" s="38">
        <v>5341</v>
      </c>
      <c r="AJ30" s="38">
        <v>59.74</v>
      </c>
      <c r="AN30" s="13" t="s">
        <v>234</v>
      </c>
      <c r="AO30" s="40">
        <v>3838</v>
      </c>
      <c r="AP30" s="40">
        <v>62.18</v>
      </c>
      <c r="AR30" s="38">
        <v>5424</v>
      </c>
      <c r="AS30" s="38">
        <v>65.17</v>
      </c>
      <c r="AU30" s="38">
        <v>5236</v>
      </c>
      <c r="AV30" s="38">
        <v>64.48</v>
      </c>
      <c r="AX30" s="53">
        <v>4288</v>
      </c>
      <c r="AY30" s="53">
        <v>64.58</v>
      </c>
      <c r="BA30" s="38">
        <v>5018</v>
      </c>
      <c r="BB30" s="53">
        <v>64.489999999999995</v>
      </c>
      <c r="BF30" s="13" t="s">
        <v>64</v>
      </c>
      <c r="BG30" s="15">
        <v>4049</v>
      </c>
      <c r="BH30" s="15">
        <v>56.5</v>
      </c>
      <c r="BJ30" s="38">
        <v>5036</v>
      </c>
      <c r="BK30" s="53">
        <v>64.010000000000005</v>
      </c>
      <c r="BL30" s="77"/>
      <c r="BM30" s="38">
        <v>4206</v>
      </c>
      <c r="BN30" s="38">
        <v>62.05</v>
      </c>
      <c r="BP30" s="53">
        <v>4435</v>
      </c>
      <c r="BQ30" s="53">
        <v>55.44</v>
      </c>
    </row>
    <row r="31" spans="1:69" x14ac:dyDescent="0.35">
      <c r="B31" s="39">
        <v>5336</v>
      </c>
      <c r="C31" s="39">
        <v>51.95</v>
      </c>
      <c r="H31" s="53">
        <v>5021</v>
      </c>
      <c r="I31" s="53">
        <v>59.88</v>
      </c>
      <c r="K31" s="38">
        <v>4641</v>
      </c>
      <c r="L31" s="53">
        <v>62.4</v>
      </c>
      <c r="P31" s="13" t="s">
        <v>234</v>
      </c>
      <c r="Q31" s="40">
        <v>3777</v>
      </c>
      <c r="R31" s="40">
        <v>62.18</v>
      </c>
      <c r="W31" s="38">
        <v>6437</v>
      </c>
      <c r="X31" s="38">
        <v>64.56</v>
      </c>
      <c r="AF31" s="53">
        <v>4400</v>
      </c>
      <c r="AG31" s="53">
        <v>57.46</v>
      </c>
      <c r="AI31" s="38">
        <v>5651</v>
      </c>
      <c r="AJ31" s="38">
        <v>63.29</v>
      </c>
      <c r="AR31" s="38">
        <v>5502</v>
      </c>
      <c r="AS31" s="38">
        <v>65.56</v>
      </c>
      <c r="AU31" s="38">
        <v>5598</v>
      </c>
      <c r="AV31" s="38">
        <v>59.46</v>
      </c>
      <c r="AX31" s="53">
        <v>4565</v>
      </c>
      <c r="AY31" s="53">
        <v>64.010000000000005</v>
      </c>
      <c r="AZ31" s="13" t="s">
        <v>234</v>
      </c>
      <c r="BA31" s="15">
        <v>5376</v>
      </c>
      <c r="BB31" s="15">
        <v>62.18</v>
      </c>
      <c r="BG31" s="38">
        <v>4116</v>
      </c>
      <c r="BH31" s="38">
        <v>58.1</v>
      </c>
      <c r="BJ31" s="38">
        <v>5172</v>
      </c>
      <c r="BK31" s="53">
        <v>64.3</v>
      </c>
      <c r="BL31" s="77"/>
      <c r="BM31" s="38">
        <v>4441</v>
      </c>
      <c r="BN31" s="38">
        <v>65.56</v>
      </c>
      <c r="BP31" s="53">
        <v>4540</v>
      </c>
      <c r="BQ31" s="53">
        <v>56.6</v>
      </c>
    </row>
    <row r="32" spans="1:69" x14ac:dyDescent="0.35">
      <c r="B32" s="38">
        <v>5444</v>
      </c>
      <c r="C32" s="38">
        <v>56.87</v>
      </c>
      <c r="H32" s="53">
        <v>5375</v>
      </c>
      <c r="I32" s="53">
        <v>64.52</v>
      </c>
      <c r="J32" s="13" t="s">
        <v>234</v>
      </c>
      <c r="K32" s="15">
        <v>4843</v>
      </c>
      <c r="L32" s="15">
        <v>62.01</v>
      </c>
      <c r="W32" s="38">
        <v>6502</v>
      </c>
      <c r="X32" s="38">
        <v>63.8</v>
      </c>
      <c r="AF32" s="53">
        <v>4490</v>
      </c>
      <c r="AG32" s="53">
        <v>58.68</v>
      </c>
      <c r="AI32" s="38">
        <v>5716</v>
      </c>
      <c r="AJ32" s="38">
        <v>62.49</v>
      </c>
      <c r="AR32" s="38">
        <v>5691</v>
      </c>
      <c r="AS32" s="38">
        <v>65.42</v>
      </c>
      <c r="AU32" s="38">
        <v>5743</v>
      </c>
      <c r="AV32" s="38">
        <v>62.87</v>
      </c>
      <c r="AX32" s="53">
        <v>4701</v>
      </c>
      <c r="AY32" s="53">
        <v>64.3</v>
      </c>
      <c r="BA32" s="75"/>
      <c r="BG32" s="38">
        <v>4420</v>
      </c>
      <c r="BH32" s="38">
        <v>62.05</v>
      </c>
      <c r="BJ32" s="38">
        <v>5598</v>
      </c>
      <c r="BK32" s="53">
        <v>59.33</v>
      </c>
      <c r="BL32" s="77"/>
      <c r="BM32" s="38">
        <v>4689</v>
      </c>
      <c r="BN32" s="38">
        <v>65.569999999999993</v>
      </c>
      <c r="BP32" s="53">
        <v>4744</v>
      </c>
      <c r="BQ32" s="53">
        <v>57.79</v>
      </c>
    </row>
    <row r="33" spans="1:69" x14ac:dyDescent="0.35">
      <c r="B33" s="38">
        <v>5487</v>
      </c>
      <c r="C33" s="38">
        <v>59.77</v>
      </c>
      <c r="H33" s="53">
        <v>5490</v>
      </c>
      <c r="I33" s="53">
        <v>64.47</v>
      </c>
      <c r="K33" s="75"/>
      <c r="V33" s="13" t="s">
        <v>234</v>
      </c>
      <c r="W33" s="40">
        <v>6848</v>
      </c>
      <c r="X33" s="40">
        <v>62.18</v>
      </c>
      <c r="AE33" s="19" t="s">
        <v>64</v>
      </c>
      <c r="AF33" s="39">
        <v>4685</v>
      </c>
      <c r="AG33" s="39">
        <v>50.9</v>
      </c>
      <c r="AI33" s="38">
        <v>5816</v>
      </c>
      <c r="AJ33" s="38">
        <v>62.26</v>
      </c>
      <c r="AR33" s="38">
        <v>5317</v>
      </c>
      <c r="AS33" s="38">
        <v>64.77</v>
      </c>
      <c r="AU33" s="38">
        <v>5846</v>
      </c>
      <c r="AV33" s="38">
        <v>62.72</v>
      </c>
      <c r="AX33" s="53">
        <v>5127</v>
      </c>
      <c r="AY33" s="53">
        <v>59.33</v>
      </c>
      <c r="BA33" s="75"/>
      <c r="BG33" s="38">
        <v>4655</v>
      </c>
      <c r="BH33" s="38">
        <v>65.56</v>
      </c>
      <c r="BJ33" s="38">
        <v>5737</v>
      </c>
      <c r="BK33" s="53">
        <v>60.68</v>
      </c>
      <c r="BL33" s="77"/>
      <c r="BM33" s="38">
        <v>4726</v>
      </c>
      <c r="BN33" s="38">
        <v>65.459999999999994</v>
      </c>
      <c r="BP33" s="53">
        <v>5060</v>
      </c>
      <c r="BQ33" s="53">
        <v>59.2</v>
      </c>
    </row>
    <row r="34" spans="1:69" x14ac:dyDescent="0.35">
      <c r="B34" s="38">
        <v>5713</v>
      </c>
      <c r="C34" s="38">
        <v>63.29</v>
      </c>
      <c r="H34" s="53">
        <v>5583</v>
      </c>
      <c r="I34" s="53">
        <v>62.4</v>
      </c>
      <c r="K34" s="75"/>
      <c r="AF34" s="39">
        <v>4753</v>
      </c>
      <c r="AG34" s="39">
        <v>51.6</v>
      </c>
      <c r="AI34" s="38">
        <v>6056</v>
      </c>
      <c r="AJ34" s="38">
        <v>60.58</v>
      </c>
      <c r="AR34" s="38">
        <v>6228</v>
      </c>
      <c r="AS34" s="38">
        <v>65.58</v>
      </c>
      <c r="AU34" s="38">
        <v>5921</v>
      </c>
      <c r="AV34" s="38">
        <v>62.99</v>
      </c>
      <c r="AX34" s="53">
        <v>5266</v>
      </c>
      <c r="AY34" s="53">
        <v>60.68</v>
      </c>
      <c r="BA34" s="75"/>
      <c r="BG34" s="38">
        <v>4903</v>
      </c>
      <c r="BH34" s="38">
        <v>65.569999999999993</v>
      </c>
      <c r="BJ34" s="38">
        <v>5843</v>
      </c>
      <c r="BK34" s="53">
        <v>63.08</v>
      </c>
      <c r="BL34" s="77"/>
      <c r="BM34" s="38">
        <v>4838</v>
      </c>
      <c r="BN34" s="38">
        <v>65.510000000000005</v>
      </c>
      <c r="BP34" s="53">
        <v>5557</v>
      </c>
      <c r="BQ34" s="53">
        <v>58.87</v>
      </c>
    </row>
    <row r="35" spans="1:69" x14ac:dyDescent="0.35">
      <c r="B35" s="38">
        <v>5862</v>
      </c>
      <c r="C35" s="38">
        <v>64.48</v>
      </c>
      <c r="G35" s="19" t="s">
        <v>234</v>
      </c>
      <c r="H35" s="39">
        <v>5785</v>
      </c>
      <c r="I35" s="39">
        <v>62.01</v>
      </c>
      <c r="K35" s="75"/>
      <c r="AF35" s="53">
        <v>4909</v>
      </c>
      <c r="AG35" s="53">
        <v>58.26</v>
      </c>
      <c r="AI35" s="38">
        <v>6376</v>
      </c>
      <c r="AJ35" s="38">
        <v>60.31</v>
      </c>
      <c r="AR35" s="38">
        <v>6451</v>
      </c>
      <c r="AS35" s="38">
        <v>64.5</v>
      </c>
      <c r="AU35" s="38">
        <v>5981</v>
      </c>
      <c r="AV35" s="38">
        <v>62.58</v>
      </c>
      <c r="AX35" s="53">
        <v>5372</v>
      </c>
      <c r="AY35" s="53">
        <v>63.08</v>
      </c>
      <c r="BA35" s="75"/>
      <c r="BG35" s="38">
        <v>4940</v>
      </c>
      <c r="BH35" s="38">
        <v>65.459999999999994</v>
      </c>
      <c r="BJ35" s="38">
        <v>5980</v>
      </c>
      <c r="BK35" s="53">
        <v>62.87</v>
      </c>
      <c r="BL35" s="77"/>
      <c r="BM35" s="38">
        <v>4905</v>
      </c>
      <c r="BN35" s="38">
        <v>65.290000000000006</v>
      </c>
      <c r="BP35" s="53">
        <v>5867</v>
      </c>
      <c r="BQ35" s="53">
        <v>58.15</v>
      </c>
    </row>
    <row r="36" spans="1:69" ht="12" customHeight="1" x14ac:dyDescent="0.35">
      <c r="B36" s="38">
        <v>5970</v>
      </c>
      <c r="C36" s="38">
        <v>64.5</v>
      </c>
      <c r="AF36" s="53">
        <v>5010</v>
      </c>
      <c r="AG36" s="53">
        <v>59.37</v>
      </c>
      <c r="AH36" s="13" t="s">
        <v>64</v>
      </c>
      <c r="AI36" s="15">
        <v>6504</v>
      </c>
      <c r="AJ36" s="15">
        <v>51.9</v>
      </c>
      <c r="AR36" s="38">
        <v>6501</v>
      </c>
      <c r="AS36" s="38">
        <v>67.099999999999994</v>
      </c>
      <c r="AU36" s="38">
        <v>6229</v>
      </c>
      <c r="AV36" s="38">
        <v>62.52</v>
      </c>
      <c r="AX36" s="53">
        <v>5509</v>
      </c>
      <c r="AY36" s="53">
        <v>62.87</v>
      </c>
      <c r="BA36" s="75"/>
      <c r="BG36" s="38">
        <v>5052</v>
      </c>
      <c r="BH36" s="38">
        <v>65.510000000000005</v>
      </c>
      <c r="BJ36" s="38">
        <v>6102</v>
      </c>
      <c r="BK36" s="53">
        <v>62.25</v>
      </c>
      <c r="BL36" s="77"/>
      <c r="BM36" s="38">
        <v>5004</v>
      </c>
      <c r="BN36" s="38">
        <v>63.88</v>
      </c>
      <c r="BP36" s="53">
        <v>6121</v>
      </c>
      <c r="BQ36" s="53">
        <v>57.55</v>
      </c>
    </row>
    <row r="37" spans="1:69" x14ac:dyDescent="0.35">
      <c r="B37" s="38">
        <v>6015</v>
      </c>
      <c r="C37" s="38">
        <v>63.63</v>
      </c>
      <c r="AF37" s="53">
        <v>5158</v>
      </c>
      <c r="AG37" s="53">
        <v>58.68</v>
      </c>
      <c r="AI37" s="38">
        <v>6715</v>
      </c>
      <c r="AJ37" s="38">
        <v>56.2</v>
      </c>
      <c r="AR37" s="38">
        <v>6639</v>
      </c>
      <c r="AS37" s="38">
        <v>66.430000000000007</v>
      </c>
      <c r="AU37" s="38">
        <v>6532</v>
      </c>
      <c r="AV37" s="38">
        <v>61.38</v>
      </c>
      <c r="AX37" s="53">
        <v>5631</v>
      </c>
      <c r="AY37" s="53">
        <v>62.25</v>
      </c>
      <c r="BA37" s="75"/>
      <c r="BG37" s="38">
        <v>5119</v>
      </c>
      <c r="BH37" s="38">
        <v>65.290000000000006</v>
      </c>
      <c r="BJ37" s="38">
        <v>6332</v>
      </c>
      <c r="BK37" s="53">
        <v>60.69</v>
      </c>
      <c r="BL37" s="77"/>
      <c r="BM37" s="38">
        <v>5150</v>
      </c>
      <c r="BN37" s="38">
        <v>62.8</v>
      </c>
      <c r="BP37" s="53">
        <v>6317</v>
      </c>
      <c r="BQ37" s="53">
        <v>57.4</v>
      </c>
    </row>
    <row r="38" spans="1:69" x14ac:dyDescent="0.35">
      <c r="A38" s="19" t="s">
        <v>234</v>
      </c>
      <c r="B38" s="39">
        <v>6247</v>
      </c>
      <c r="C38" s="39">
        <v>62.26</v>
      </c>
      <c r="AF38" s="53">
        <v>5389</v>
      </c>
      <c r="AG38" s="53">
        <v>61.55</v>
      </c>
      <c r="AI38" s="38">
        <v>6771</v>
      </c>
      <c r="AJ38" s="38">
        <v>59.95</v>
      </c>
      <c r="AR38" s="38">
        <v>6918</v>
      </c>
      <c r="AS38" s="38">
        <v>65.75</v>
      </c>
      <c r="AT38" s="13" t="s">
        <v>64</v>
      </c>
      <c r="AU38" s="15">
        <v>6689</v>
      </c>
      <c r="AV38" s="40">
        <v>51.9</v>
      </c>
      <c r="AX38" s="53">
        <v>5861</v>
      </c>
      <c r="AY38" s="53">
        <v>60.69</v>
      </c>
      <c r="BA38" s="75"/>
      <c r="BG38" s="38">
        <v>5218</v>
      </c>
      <c r="BH38" s="38">
        <v>63.88</v>
      </c>
      <c r="BJ38" s="38">
        <v>6558</v>
      </c>
      <c r="BK38" s="53">
        <v>60.56</v>
      </c>
      <c r="BL38" s="77"/>
      <c r="BM38" s="38">
        <v>5270</v>
      </c>
      <c r="BN38" s="38">
        <v>62.77</v>
      </c>
      <c r="BP38" s="53">
        <v>6439</v>
      </c>
      <c r="BQ38" s="53">
        <v>55.82</v>
      </c>
    </row>
    <row r="39" spans="1:69" x14ac:dyDescent="0.35">
      <c r="AE39" s="19" t="s">
        <v>234</v>
      </c>
      <c r="AF39" s="39">
        <v>5797</v>
      </c>
      <c r="AG39" s="39">
        <v>62.24</v>
      </c>
      <c r="AI39" s="38">
        <v>6968</v>
      </c>
      <c r="AJ39" s="38">
        <v>62.58</v>
      </c>
      <c r="AR39" s="38">
        <v>7119</v>
      </c>
      <c r="AS39" s="38">
        <v>65.73</v>
      </c>
      <c r="AU39" s="15">
        <v>6770</v>
      </c>
      <c r="AV39" s="40">
        <v>51.95</v>
      </c>
      <c r="AX39" s="53">
        <v>6087</v>
      </c>
      <c r="AY39" s="53">
        <v>60.56</v>
      </c>
      <c r="BG39" s="38">
        <v>5364</v>
      </c>
      <c r="BH39" s="38">
        <v>62.8</v>
      </c>
      <c r="BJ39" s="38">
        <v>6645</v>
      </c>
      <c r="BK39" s="53">
        <v>61.61</v>
      </c>
      <c r="BL39" s="77"/>
      <c r="BM39" s="38">
        <v>5437</v>
      </c>
      <c r="BN39" s="38">
        <v>60.82</v>
      </c>
      <c r="BP39" s="53">
        <v>6569</v>
      </c>
      <c r="BQ39" s="53">
        <v>57.67</v>
      </c>
    </row>
    <row r="40" spans="1:69" x14ac:dyDescent="0.35">
      <c r="AI40" s="38">
        <v>7114</v>
      </c>
      <c r="AJ40" s="38">
        <v>63.37</v>
      </c>
      <c r="AR40" s="38">
        <v>7404</v>
      </c>
      <c r="AS40" s="38">
        <v>66.86</v>
      </c>
      <c r="AU40" s="38">
        <v>6878</v>
      </c>
      <c r="AV40" s="38">
        <v>56.87</v>
      </c>
      <c r="AX40" s="53">
        <v>6174</v>
      </c>
      <c r="AY40" s="53">
        <v>61.61</v>
      </c>
      <c r="BG40" s="38">
        <v>5484</v>
      </c>
      <c r="BH40" s="38">
        <v>62.77</v>
      </c>
      <c r="BI40" s="19" t="s">
        <v>64</v>
      </c>
      <c r="BJ40" s="9">
        <v>6789</v>
      </c>
      <c r="BK40" s="9">
        <v>51.9</v>
      </c>
      <c r="BL40" s="77"/>
      <c r="BM40" s="38">
        <v>5461</v>
      </c>
      <c r="BN40" s="38">
        <v>59.76</v>
      </c>
      <c r="BP40" s="53">
        <v>6746</v>
      </c>
      <c r="BQ40" s="53">
        <v>52.48</v>
      </c>
    </row>
    <row r="41" spans="1:69" x14ac:dyDescent="0.35">
      <c r="AI41" s="38">
        <v>7283</v>
      </c>
      <c r="AJ41" s="38">
        <v>61.58</v>
      </c>
      <c r="AR41" s="38">
        <v>7635</v>
      </c>
      <c r="AS41" s="38">
        <v>66.12</v>
      </c>
      <c r="AU41" s="38">
        <v>6921</v>
      </c>
      <c r="AV41" s="38">
        <v>59.77</v>
      </c>
      <c r="AW41" s="19" t="s">
        <v>64</v>
      </c>
      <c r="AX41" s="9">
        <v>6318</v>
      </c>
      <c r="AY41" s="9">
        <v>51.9</v>
      </c>
      <c r="BG41" s="38">
        <v>5651</v>
      </c>
      <c r="BH41" s="38">
        <v>60.82</v>
      </c>
      <c r="BJ41" s="38">
        <v>6824</v>
      </c>
      <c r="BK41" s="53">
        <v>53.51</v>
      </c>
      <c r="BL41" s="13" t="s">
        <v>234</v>
      </c>
      <c r="BM41" s="40">
        <v>5778</v>
      </c>
      <c r="BN41" s="40">
        <v>62.18</v>
      </c>
      <c r="BO41" s="19" t="s">
        <v>64</v>
      </c>
      <c r="BP41" s="39">
        <v>6843</v>
      </c>
      <c r="BQ41" s="39">
        <v>51</v>
      </c>
    </row>
    <row r="42" spans="1:69" x14ac:dyDescent="0.35">
      <c r="AH42" s="13" t="s">
        <v>234</v>
      </c>
      <c r="AI42" s="15">
        <v>7553</v>
      </c>
      <c r="AJ42" s="15">
        <v>62.01</v>
      </c>
      <c r="AR42" s="38">
        <v>7812</v>
      </c>
      <c r="AS42" s="38">
        <v>66.959999999999994</v>
      </c>
      <c r="AU42" s="38">
        <v>7147</v>
      </c>
      <c r="AV42" s="38">
        <v>63.29</v>
      </c>
      <c r="AX42" s="53">
        <v>6353</v>
      </c>
      <c r="AY42" s="53">
        <v>53.51</v>
      </c>
      <c r="BG42" s="38">
        <v>5675</v>
      </c>
      <c r="BH42" s="38">
        <v>59.76</v>
      </c>
      <c r="BJ42" s="38">
        <v>7048</v>
      </c>
      <c r="BK42" s="53">
        <v>59.17</v>
      </c>
      <c r="BM42" s="77"/>
      <c r="BP42" s="53">
        <v>6937</v>
      </c>
      <c r="BQ42" s="53">
        <v>53.91</v>
      </c>
    </row>
    <row r="43" spans="1:69" x14ac:dyDescent="0.35">
      <c r="AR43" s="38">
        <v>8115</v>
      </c>
      <c r="AS43" s="38">
        <v>66.8</v>
      </c>
      <c r="AU43" s="38">
        <v>7296</v>
      </c>
      <c r="AV43" s="38">
        <v>64.48</v>
      </c>
      <c r="AX43" s="53">
        <v>6577</v>
      </c>
      <c r="AY43" s="53">
        <v>59.17</v>
      </c>
      <c r="BF43" s="13" t="s">
        <v>234</v>
      </c>
      <c r="BG43" s="15">
        <v>5992</v>
      </c>
      <c r="BH43" s="15">
        <v>62.18</v>
      </c>
      <c r="BJ43" s="38">
        <v>7244</v>
      </c>
      <c r="BK43" s="53">
        <v>62.13</v>
      </c>
      <c r="BM43" s="77"/>
      <c r="BP43" s="53">
        <v>7025</v>
      </c>
      <c r="BQ43" s="53">
        <v>58.26</v>
      </c>
    </row>
    <row r="44" spans="1:69" x14ac:dyDescent="0.35">
      <c r="AR44" s="38">
        <v>8223</v>
      </c>
      <c r="AS44" s="38">
        <v>65.34</v>
      </c>
      <c r="AU44" s="38">
        <v>7404</v>
      </c>
      <c r="AV44" s="38">
        <v>64.5</v>
      </c>
      <c r="AX44" s="53">
        <v>6773</v>
      </c>
      <c r="AY44" s="53">
        <v>62.13</v>
      </c>
      <c r="BJ44" s="38">
        <v>7330</v>
      </c>
      <c r="BK44" s="53">
        <v>63.46</v>
      </c>
      <c r="BM44" s="77"/>
      <c r="BP44" s="53">
        <v>7117</v>
      </c>
      <c r="BQ44" s="53">
        <v>58.88</v>
      </c>
    </row>
    <row r="45" spans="1:69" x14ac:dyDescent="0.35">
      <c r="AR45" s="38">
        <v>8428</v>
      </c>
      <c r="AS45" s="38">
        <v>63.73</v>
      </c>
      <c r="AU45" s="38">
        <v>7449</v>
      </c>
      <c r="AV45" s="38">
        <v>63.63</v>
      </c>
      <c r="AX45" s="53">
        <v>6859</v>
      </c>
      <c r="AY45" s="53">
        <v>63.46</v>
      </c>
      <c r="BJ45" s="38">
        <v>7392</v>
      </c>
      <c r="BK45" s="53">
        <v>64.2</v>
      </c>
      <c r="BM45" s="77"/>
      <c r="BP45" s="53">
        <v>7278</v>
      </c>
      <c r="BQ45" s="53">
        <v>57.79</v>
      </c>
    </row>
    <row r="46" spans="1:69" x14ac:dyDescent="0.35">
      <c r="AR46" s="38">
        <v>8631</v>
      </c>
      <c r="AS46" s="38">
        <v>64.89</v>
      </c>
      <c r="AT46" s="13" t="s">
        <v>234</v>
      </c>
      <c r="AU46" s="15">
        <v>7681</v>
      </c>
      <c r="AV46" s="40">
        <v>62.26</v>
      </c>
      <c r="AX46" s="53">
        <v>6921</v>
      </c>
      <c r="AY46" s="53">
        <v>64.2</v>
      </c>
      <c r="BJ46" s="38">
        <v>7482</v>
      </c>
      <c r="BK46" s="53">
        <v>62.79</v>
      </c>
      <c r="BM46" s="77"/>
      <c r="BP46" s="53">
        <v>7391</v>
      </c>
      <c r="BQ46" s="53">
        <v>59.61</v>
      </c>
    </row>
    <row r="47" spans="1:69" x14ac:dyDescent="0.35">
      <c r="AR47" s="38">
        <v>8842</v>
      </c>
      <c r="AS47" s="38">
        <v>66.92</v>
      </c>
      <c r="AU47" s="75"/>
      <c r="AX47" s="53">
        <v>7011</v>
      </c>
      <c r="AY47" s="53">
        <v>62.79</v>
      </c>
      <c r="BJ47" s="38">
        <v>7506</v>
      </c>
      <c r="BK47" s="53">
        <v>63.14</v>
      </c>
      <c r="BM47" s="77"/>
      <c r="BP47" s="53">
        <v>7528</v>
      </c>
      <c r="BQ47" s="53">
        <v>62.96</v>
      </c>
    </row>
    <row r="48" spans="1:69" x14ac:dyDescent="0.35">
      <c r="AR48" s="38">
        <v>9085</v>
      </c>
      <c r="AS48" s="38">
        <v>64.760000000000005</v>
      </c>
      <c r="AU48" s="75"/>
      <c r="AX48" s="53">
        <v>7035</v>
      </c>
      <c r="AY48" s="53">
        <v>63.14</v>
      </c>
      <c r="BJ48" s="38">
        <v>7554</v>
      </c>
      <c r="BK48" s="53">
        <v>63.53</v>
      </c>
      <c r="BP48" s="53">
        <v>7588</v>
      </c>
      <c r="BQ48" s="53">
        <v>62.76</v>
      </c>
    </row>
    <row r="49" spans="43:69" x14ac:dyDescent="0.35">
      <c r="AR49" s="38">
        <v>9125</v>
      </c>
      <c r="AS49" s="38">
        <v>64.33</v>
      </c>
      <c r="AX49" s="53">
        <v>7083</v>
      </c>
      <c r="AY49" s="53">
        <v>63.53</v>
      </c>
      <c r="BI49" s="19" t="s">
        <v>234</v>
      </c>
      <c r="BJ49" s="9">
        <v>7871</v>
      </c>
      <c r="BK49" s="9">
        <v>62.01</v>
      </c>
      <c r="BP49" s="53">
        <v>7677</v>
      </c>
      <c r="BQ49" s="53">
        <v>61.56</v>
      </c>
    </row>
    <row r="50" spans="43:69" x14ac:dyDescent="0.35">
      <c r="AQ50" s="19" t="s">
        <v>234</v>
      </c>
      <c r="AR50" s="39">
        <v>9468</v>
      </c>
      <c r="AS50" s="39">
        <v>62.15</v>
      </c>
      <c r="AW50" s="19" t="s">
        <v>234</v>
      </c>
      <c r="AX50" s="9">
        <v>7400</v>
      </c>
      <c r="AY50" s="9">
        <v>62.01</v>
      </c>
      <c r="BJ50" s="75"/>
      <c r="BO50" s="19" t="s">
        <v>234</v>
      </c>
      <c r="BP50" s="39">
        <v>7890</v>
      </c>
      <c r="BQ50" s="39">
        <v>62.23</v>
      </c>
    </row>
    <row r="51" spans="43:69" x14ac:dyDescent="0.35">
      <c r="BJ51" s="75"/>
    </row>
    <row r="52" spans="43:69" x14ac:dyDescent="0.35">
      <c r="BJ52" s="75"/>
    </row>
    <row r="53" spans="43:69" x14ac:dyDescent="0.35">
      <c r="BJ53" s="75"/>
    </row>
  </sheetData>
  <mergeCells count="26">
    <mergeCell ref="BP1:BQ1"/>
    <mergeCell ref="BS1:BT1"/>
    <mergeCell ref="BV1:BW1"/>
    <mergeCell ref="BY1:BZ1"/>
    <mergeCell ref="AX1:AY1"/>
    <mergeCell ref="BA1:BB1"/>
    <mergeCell ref="BD1:BE1"/>
    <mergeCell ref="BG1:BH1"/>
    <mergeCell ref="BJ1:BK1"/>
    <mergeCell ref="BM1:BN1"/>
    <mergeCell ref="B1:C1"/>
    <mergeCell ref="E1:F1"/>
    <mergeCell ref="H1:I1"/>
    <mergeCell ref="K1:L1"/>
    <mergeCell ref="AU1:AV1"/>
    <mergeCell ref="N1:O1"/>
    <mergeCell ref="Q1:R1"/>
    <mergeCell ref="T1:U1"/>
    <mergeCell ref="W1:X1"/>
    <mergeCell ref="Z1:AA1"/>
    <mergeCell ref="AC1:AD1"/>
    <mergeCell ref="AF1:AG1"/>
    <mergeCell ref="AI1:AJ1"/>
    <mergeCell ref="AL1:AM1"/>
    <mergeCell ref="AO1:AP1"/>
    <mergeCell ref="AR1:AS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2"/>
  <dimension ref="A1:CL75"/>
  <sheetViews>
    <sheetView workbookViewId="0">
      <pane ySplit="2" topLeftCell="A3" activePane="bottomLeft" state="frozen"/>
      <selection pane="bottomLeft" activeCell="BK3" sqref="BK3"/>
    </sheetView>
  </sheetViews>
  <sheetFormatPr defaultRowHeight="14.5" x14ac:dyDescent="0.35"/>
  <sheetData>
    <row r="1" spans="1:90" x14ac:dyDescent="0.35">
      <c r="A1" s="78"/>
      <c r="B1" s="99" t="s">
        <v>388</v>
      </c>
      <c r="C1" s="100"/>
      <c r="E1" s="99" t="s">
        <v>389</v>
      </c>
      <c r="F1" s="100"/>
      <c r="H1" s="99" t="s">
        <v>390</v>
      </c>
      <c r="I1" s="100"/>
      <c r="K1" s="99" t="s">
        <v>391</v>
      </c>
      <c r="L1" s="100"/>
      <c r="N1" s="99" t="s">
        <v>392</v>
      </c>
      <c r="O1" s="100"/>
      <c r="Q1" s="99" t="s">
        <v>393</v>
      </c>
      <c r="R1" s="100"/>
      <c r="T1" s="99" t="s">
        <v>394</v>
      </c>
      <c r="U1" s="100"/>
      <c r="W1" s="99" t="s">
        <v>395</v>
      </c>
      <c r="X1" s="100"/>
      <c r="Z1" s="99" t="s">
        <v>396</v>
      </c>
      <c r="AA1" s="100"/>
      <c r="AC1" s="96" t="s">
        <v>397</v>
      </c>
      <c r="AD1" s="97"/>
      <c r="AE1" s="80"/>
      <c r="AF1" s="96" t="s">
        <v>398</v>
      </c>
      <c r="AG1" s="97"/>
      <c r="AH1" s="80"/>
      <c r="AI1" s="96" t="s">
        <v>399</v>
      </c>
      <c r="AJ1" s="97"/>
      <c r="AK1" s="80"/>
      <c r="AL1" s="96" t="s">
        <v>400</v>
      </c>
      <c r="AM1" s="97"/>
      <c r="AN1" s="80"/>
      <c r="AO1" s="96" t="s">
        <v>401</v>
      </c>
      <c r="AP1" s="97"/>
      <c r="AQ1" s="80"/>
      <c r="AR1" s="96" t="s">
        <v>402</v>
      </c>
      <c r="AS1" s="97"/>
      <c r="AT1" s="80"/>
      <c r="AU1" s="96" t="s">
        <v>403</v>
      </c>
      <c r="AV1" s="97"/>
      <c r="AW1" s="80"/>
      <c r="AX1" s="96" t="s">
        <v>404</v>
      </c>
      <c r="AY1" s="97"/>
      <c r="AZ1" s="80"/>
      <c r="BA1" s="96" t="s">
        <v>405</v>
      </c>
      <c r="BB1" s="97"/>
      <c r="BC1" s="80"/>
      <c r="BD1" s="96" t="s">
        <v>406</v>
      </c>
      <c r="BE1" s="97"/>
      <c r="BF1" s="80"/>
      <c r="BG1" s="96" t="s">
        <v>407</v>
      </c>
      <c r="BH1" s="97"/>
      <c r="BI1" s="80"/>
      <c r="BJ1" s="96" t="s">
        <v>418</v>
      </c>
      <c r="BK1" s="97"/>
      <c r="BL1" s="80"/>
      <c r="BM1" s="96" t="s">
        <v>419</v>
      </c>
      <c r="BN1" s="97"/>
      <c r="BO1" s="80"/>
      <c r="BP1" s="96" t="s">
        <v>410</v>
      </c>
      <c r="BQ1" s="97"/>
      <c r="BS1" s="96" t="s">
        <v>411</v>
      </c>
      <c r="BT1" s="97"/>
      <c r="BV1" s="96" t="s">
        <v>412</v>
      </c>
      <c r="BW1" s="97"/>
      <c r="BY1" s="96" t="s">
        <v>413</v>
      </c>
      <c r="BZ1" s="97"/>
      <c r="CB1" s="96" t="s">
        <v>414</v>
      </c>
      <c r="CC1" s="97"/>
      <c r="CE1" s="96" t="s">
        <v>415</v>
      </c>
      <c r="CF1" s="97"/>
      <c r="CH1" s="96" t="s">
        <v>416</v>
      </c>
      <c r="CI1" s="97"/>
      <c r="CK1" s="96" t="s">
        <v>420</v>
      </c>
      <c r="CL1" s="97"/>
    </row>
    <row r="2" spans="1:90" x14ac:dyDescent="0.35">
      <c r="A2" s="78"/>
      <c r="B2" s="1" t="s">
        <v>32</v>
      </c>
      <c r="C2" s="1" t="s">
        <v>33</v>
      </c>
      <c r="E2" s="1" t="s">
        <v>32</v>
      </c>
      <c r="F2" s="1" t="s">
        <v>33</v>
      </c>
      <c r="H2" s="1" t="s">
        <v>32</v>
      </c>
      <c r="I2" s="1" t="s">
        <v>33</v>
      </c>
      <c r="K2" s="1" t="s">
        <v>32</v>
      </c>
      <c r="L2" s="1" t="s">
        <v>33</v>
      </c>
      <c r="N2" s="1" t="s">
        <v>32</v>
      </c>
      <c r="O2" s="1" t="s">
        <v>33</v>
      </c>
      <c r="Q2" s="1" t="s">
        <v>32</v>
      </c>
      <c r="R2" s="1" t="s">
        <v>33</v>
      </c>
      <c r="T2" s="1" t="s">
        <v>32</v>
      </c>
      <c r="U2" s="1" t="s">
        <v>33</v>
      </c>
      <c r="W2" s="1" t="s">
        <v>32</v>
      </c>
      <c r="X2" s="1" t="s">
        <v>33</v>
      </c>
      <c r="Z2" s="1" t="s">
        <v>32</v>
      </c>
      <c r="AA2" s="1" t="s">
        <v>33</v>
      </c>
      <c r="AC2" s="1" t="s">
        <v>32</v>
      </c>
      <c r="AD2" s="1" t="s">
        <v>33</v>
      </c>
      <c r="AE2" s="80"/>
      <c r="AF2" s="1" t="s">
        <v>32</v>
      </c>
      <c r="AG2" s="1" t="s">
        <v>33</v>
      </c>
      <c r="AH2" s="80"/>
      <c r="AI2" s="1" t="s">
        <v>32</v>
      </c>
      <c r="AJ2" s="1" t="s">
        <v>33</v>
      </c>
      <c r="AK2" s="80"/>
      <c r="AL2" s="1" t="s">
        <v>32</v>
      </c>
      <c r="AM2" s="1" t="s">
        <v>33</v>
      </c>
      <c r="AN2" s="80"/>
      <c r="AO2" s="1" t="s">
        <v>32</v>
      </c>
      <c r="AP2" s="1" t="s">
        <v>33</v>
      </c>
      <c r="AQ2" s="80"/>
      <c r="AR2" s="1" t="s">
        <v>32</v>
      </c>
      <c r="AS2" s="1" t="s">
        <v>33</v>
      </c>
      <c r="AT2" s="80"/>
      <c r="AU2" s="1" t="s">
        <v>32</v>
      </c>
      <c r="AV2" s="1" t="s">
        <v>33</v>
      </c>
      <c r="AW2" s="80"/>
      <c r="AX2" s="1" t="s">
        <v>32</v>
      </c>
      <c r="AY2" s="1" t="s">
        <v>33</v>
      </c>
      <c r="AZ2" s="80"/>
      <c r="BA2" s="1" t="s">
        <v>32</v>
      </c>
      <c r="BB2" s="1" t="s">
        <v>33</v>
      </c>
      <c r="BC2" s="80"/>
      <c r="BD2" s="1" t="s">
        <v>32</v>
      </c>
      <c r="BE2" s="1" t="s">
        <v>33</v>
      </c>
      <c r="BF2" s="80"/>
      <c r="BG2" s="1" t="s">
        <v>32</v>
      </c>
      <c r="BH2" s="1" t="s">
        <v>33</v>
      </c>
      <c r="BI2" s="80"/>
      <c r="BJ2" s="1" t="s">
        <v>32</v>
      </c>
      <c r="BK2" s="1" t="s">
        <v>33</v>
      </c>
      <c r="BL2" s="80"/>
      <c r="BM2" s="1" t="s">
        <v>32</v>
      </c>
      <c r="BN2" s="1" t="s">
        <v>33</v>
      </c>
      <c r="BO2" s="80"/>
      <c r="BP2" s="1" t="s">
        <v>32</v>
      </c>
      <c r="BQ2" s="1" t="s">
        <v>33</v>
      </c>
      <c r="BS2" s="1" t="s">
        <v>32</v>
      </c>
      <c r="BT2" s="1" t="s">
        <v>33</v>
      </c>
      <c r="BV2" s="1" t="s">
        <v>32</v>
      </c>
      <c r="BW2" s="1" t="s">
        <v>33</v>
      </c>
      <c r="BY2" s="1" t="s">
        <v>32</v>
      </c>
      <c r="BZ2" s="1" t="s">
        <v>33</v>
      </c>
      <c r="CB2" s="1" t="s">
        <v>32</v>
      </c>
      <c r="CC2" s="1" t="s">
        <v>33</v>
      </c>
      <c r="CE2" s="1" t="s">
        <v>32</v>
      </c>
      <c r="CF2" s="1" t="s">
        <v>33</v>
      </c>
      <c r="CH2" s="1" t="s">
        <v>32</v>
      </c>
      <c r="CI2" s="1" t="s">
        <v>33</v>
      </c>
      <c r="CK2" s="1" t="s">
        <v>32</v>
      </c>
      <c r="CL2" s="1" t="s">
        <v>33</v>
      </c>
    </row>
    <row r="3" spans="1:90" x14ac:dyDescent="0.35">
      <c r="B3" s="38">
        <v>0</v>
      </c>
      <c r="C3" s="38">
        <v>64.28</v>
      </c>
      <c r="E3" s="38">
        <v>0</v>
      </c>
      <c r="F3" s="38">
        <v>65.87</v>
      </c>
      <c r="H3" s="53">
        <v>0</v>
      </c>
      <c r="I3" s="53">
        <v>68.98</v>
      </c>
      <c r="K3" s="53">
        <v>0</v>
      </c>
      <c r="L3" s="53">
        <v>66.73</v>
      </c>
      <c r="N3" s="53">
        <v>0</v>
      </c>
      <c r="O3" s="53">
        <v>66.290000000000006</v>
      </c>
      <c r="Q3" s="53">
        <v>0</v>
      </c>
      <c r="R3" s="53">
        <v>65.92</v>
      </c>
      <c r="T3" s="81">
        <v>0</v>
      </c>
      <c r="U3" s="81">
        <v>65.27</v>
      </c>
      <c r="W3" s="84">
        <v>0</v>
      </c>
      <c r="X3" s="84">
        <v>66</v>
      </c>
      <c r="Z3" s="53">
        <v>0</v>
      </c>
      <c r="AA3" s="53">
        <v>64.02</v>
      </c>
      <c r="AC3" s="53">
        <v>0</v>
      </c>
      <c r="AD3" s="53">
        <v>66.650000000000006</v>
      </c>
      <c r="AF3" s="53">
        <v>0</v>
      </c>
      <c r="AG3" s="53">
        <v>63.73</v>
      </c>
      <c r="AI3" s="84">
        <v>0</v>
      </c>
      <c r="AJ3" s="84">
        <v>60.95</v>
      </c>
      <c r="AL3" s="53">
        <v>0</v>
      </c>
      <c r="AM3" s="53">
        <v>70.150000000000006</v>
      </c>
      <c r="AO3" s="84">
        <v>0</v>
      </c>
      <c r="AP3" s="84">
        <v>60.69</v>
      </c>
      <c r="AR3" s="53">
        <v>0</v>
      </c>
      <c r="AS3" s="53">
        <v>61.89</v>
      </c>
      <c r="AU3" s="84">
        <v>0</v>
      </c>
      <c r="AV3" s="84">
        <v>61.71</v>
      </c>
      <c r="AX3" s="53">
        <v>0</v>
      </c>
      <c r="AY3" s="53">
        <v>60.47</v>
      </c>
      <c r="BA3" s="84">
        <v>0</v>
      </c>
      <c r="BB3" s="84">
        <v>62.34</v>
      </c>
      <c r="BD3" s="53">
        <v>0</v>
      </c>
      <c r="BE3" s="53">
        <v>59.63</v>
      </c>
      <c r="BG3" s="84">
        <v>0</v>
      </c>
      <c r="BH3" s="84">
        <v>60.05</v>
      </c>
      <c r="BJ3" s="86">
        <v>0</v>
      </c>
      <c r="BM3" s="81">
        <v>0</v>
      </c>
      <c r="BN3" s="81">
        <v>55.54</v>
      </c>
    </row>
    <row r="4" spans="1:90" x14ac:dyDescent="0.35">
      <c r="B4" s="38">
        <v>69</v>
      </c>
      <c r="C4" s="38">
        <v>65.540000000000006</v>
      </c>
      <c r="E4" s="38">
        <v>56</v>
      </c>
      <c r="F4" s="38">
        <v>66.06</v>
      </c>
      <c r="G4" s="19" t="s">
        <v>110</v>
      </c>
      <c r="H4" s="39">
        <v>30</v>
      </c>
      <c r="I4" s="39">
        <v>66.188999999999993</v>
      </c>
      <c r="K4" s="38">
        <v>111</v>
      </c>
      <c r="L4" s="38">
        <v>66.63</v>
      </c>
      <c r="N4" s="38">
        <v>91</v>
      </c>
      <c r="O4" s="38">
        <v>65.5</v>
      </c>
      <c r="Q4" s="53">
        <v>96</v>
      </c>
      <c r="R4" s="53">
        <v>65.180000000000007</v>
      </c>
      <c r="T4" s="81">
        <v>97</v>
      </c>
      <c r="U4" s="81">
        <v>65.48</v>
      </c>
      <c r="V4" s="13" t="s">
        <v>110</v>
      </c>
      <c r="W4" s="83">
        <v>59</v>
      </c>
      <c r="X4" s="83">
        <v>65.25</v>
      </c>
      <c r="Z4" s="38">
        <v>62</v>
      </c>
      <c r="AA4" s="38">
        <v>63.36</v>
      </c>
      <c r="AC4" s="38">
        <v>219</v>
      </c>
      <c r="AD4" s="38">
        <v>64.66</v>
      </c>
      <c r="AF4" s="53">
        <v>99</v>
      </c>
      <c r="AG4" s="53">
        <v>61.92</v>
      </c>
      <c r="AI4" s="84">
        <v>67</v>
      </c>
      <c r="AJ4" s="84">
        <v>59.13</v>
      </c>
      <c r="AL4" s="53">
        <v>39</v>
      </c>
      <c r="AM4" s="53">
        <v>70.36</v>
      </c>
      <c r="AO4" s="84">
        <v>42</v>
      </c>
      <c r="AP4" s="84">
        <v>60.17</v>
      </c>
      <c r="AR4" s="53">
        <v>64</v>
      </c>
      <c r="AS4" s="53">
        <v>61.26</v>
      </c>
      <c r="AT4" s="13" t="s">
        <v>110</v>
      </c>
      <c r="AU4" s="83">
        <v>88</v>
      </c>
      <c r="AV4" s="83">
        <v>61.12</v>
      </c>
      <c r="AX4" s="38">
        <v>97</v>
      </c>
      <c r="AY4" s="38">
        <v>58.95</v>
      </c>
      <c r="BA4" s="81">
        <v>85</v>
      </c>
      <c r="BB4" s="81">
        <v>61.08</v>
      </c>
      <c r="BD4" s="53">
        <v>28</v>
      </c>
      <c r="BE4" s="53">
        <v>59.99</v>
      </c>
      <c r="BG4" s="84">
        <v>167</v>
      </c>
      <c r="BH4" s="84">
        <v>58.49</v>
      </c>
      <c r="BM4" s="81">
        <v>73</v>
      </c>
      <c r="BN4" s="81">
        <v>54.64</v>
      </c>
    </row>
    <row r="5" spans="1:90" x14ac:dyDescent="0.35">
      <c r="B5" s="38">
        <v>206</v>
      </c>
      <c r="C5" s="38">
        <v>62.64</v>
      </c>
      <c r="E5" s="38">
        <v>98</v>
      </c>
      <c r="F5" s="38">
        <v>65.38</v>
      </c>
      <c r="G5" s="19" t="s">
        <v>110</v>
      </c>
      <c r="H5" s="39">
        <v>73</v>
      </c>
      <c r="I5" s="39">
        <v>66.069999999999993</v>
      </c>
      <c r="K5" s="38">
        <v>337</v>
      </c>
      <c r="L5" s="38">
        <v>66.239999999999995</v>
      </c>
      <c r="N5" s="38">
        <v>183</v>
      </c>
      <c r="O5" s="38">
        <v>66.290000000000006</v>
      </c>
      <c r="Q5" s="53">
        <v>300</v>
      </c>
      <c r="R5" s="53">
        <v>66.650000000000006</v>
      </c>
      <c r="T5" s="81">
        <v>206</v>
      </c>
      <c r="U5" s="81">
        <v>67.349999999999994</v>
      </c>
      <c r="W5" s="83">
        <v>82</v>
      </c>
      <c r="X5" s="83">
        <v>65.13</v>
      </c>
      <c r="Z5" s="38">
        <v>146</v>
      </c>
      <c r="AA5" s="38">
        <v>63.14</v>
      </c>
      <c r="AC5" s="38">
        <v>280</v>
      </c>
      <c r="AD5" s="38">
        <v>63.98</v>
      </c>
      <c r="AF5" s="53">
        <v>181</v>
      </c>
      <c r="AG5" s="53">
        <v>62.35</v>
      </c>
      <c r="AI5" s="84">
        <v>147</v>
      </c>
      <c r="AJ5" s="84">
        <v>59.55</v>
      </c>
      <c r="AL5" s="53">
        <v>121</v>
      </c>
      <c r="AM5" s="53">
        <v>69.58</v>
      </c>
      <c r="AO5" s="84">
        <v>129</v>
      </c>
      <c r="AP5" s="84">
        <v>61.05</v>
      </c>
      <c r="AR5" s="53">
        <v>108</v>
      </c>
      <c r="AS5" s="53">
        <v>60.14</v>
      </c>
      <c r="AU5" s="83">
        <v>169</v>
      </c>
      <c r="AV5" s="83">
        <v>60.66</v>
      </c>
      <c r="AX5" s="38">
        <v>182</v>
      </c>
      <c r="AY5" s="38">
        <v>58.94</v>
      </c>
      <c r="AZ5" s="13" t="s">
        <v>110</v>
      </c>
      <c r="BA5" s="83">
        <v>183</v>
      </c>
      <c r="BB5" s="83">
        <v>59.45</v>
      </c>
      <c r="BD5" s="38">
        <v>157</v>
      </c>
      <c r="BE5" s="38">
        <v>58.81</v>
      </c>
      <c r="BG5" s="81">
        <v>278</v>
      </c>
      <c r="BH5" s="81">
        <v>58.73</v>
      </c>
      <c r="BM5" s="81">
        <v>184</v>
      </c>
      <c r="BN5" s="81">
        <v>55.43</v>
      </c>
    </row>
    <row r="6" spans="1:90" x14ac:dyDescent="0.35">
      <c r="B6" s="38">
        <v>348</v>
      </c>
      <c r="C6" s="38">
        <v>62.52</v>
      </c>
      <c r="E6" s="38">
        <v>137</v>
      </c>
      <c r="F6" s="38">
        <v>64.900000000000006</v>
      </c>
      <c r="H6" s="39">
        <v>427</v>
      </c>
      <c r="I6" s="39">
        <v>66.36</v>
      </c>
      <c r="K6" s="38">
        <v>482</v>
      </c>
      <c r="L6" s="38">
        <v>66.180000000000007</v>
      </c>
      <c r="N6" s="38">
        <v>267</v>
      </c>
      <c r="O6" s="38">
        <v>66.03</v>
      </c>
      <c r="Q6" s="53">
        <v>380</v>
      </c>
      <c r="R6" s="53">
        <v>66.39</v>
      </c>
      <c r="T6" s="81">
        <v>270</v>
      </c>
      <c r="U6" s="81">
        <v>64.239999999999995</v>
      </c>
      <c r="W6" s="84">
        <v>97</v>
      </c>
      <c r="X6" s="84">
        <v>64.92</v>
      </c>
      <c r="Z6" s="53">
        <v>227</v>
      </c>
      <c r="AA6" s="53">
        <v>62.89</v>
      </c>
      <c r="AC6" s="53">
        <v>329</v>
      </c>
      <c r="AD6" s="53">
        <v>63.72</v>
      </c>
      <c r="AF6" s="53">
        <v>265</v>
      </c>
      <c r="AG6" s="53">
        <v>63.68</v>
      </c>
      <c r="AI6" s="84">
        <v>183</v>
      </c>
      <c r="AJ6" s="84">
        <v>59.8</v>
      </c>
      <c r="AL6" s="53">
        <v>197</v>
      </c>
      <c r="AM6" s="53">
        <v>68.84</v>
      </c>
      <c r="AO6" s="84">
        <v>176</v>
      </c>
      <c r="AP6" s="84">
        <v>61.25</v>
      </c>
      <c r="AR6" s="53">
        <v>200</v>
      </c>
      <c r="AS6" s="53">
        <v>59.92</v>
      </c>
      <c r="AU6" s="84">
        <v>222</v>
      </c>
      <c r="AV6" s="84">
        <v>60.85</v>
      </c>
      <c r="AX6" s="53">
        <v>261</v>
      </c>
      <c r="AY6" s="53">
        <v>59.21</v>
      </c>
      <c r="BA6" s="83">
        <v>232</v>
      </c>
      <c r="BB6" s="83">
        <v>59.49</v>
      </c>
      <c r="BD6" s="38">
        <v>279</v>
      </c>
      <c r="BE6" s="38">
        <v>57.73</v>
      </c>
      <c r="BG6" s="81">
        <v>403</v>
      </c>
      <c r="BH6" s="81">
        <v>58.7</v>
      </c>
      <c r="BM6" s="81">
        <v>311</v>
      </c>
      <c r="BN6" s="81">
        <v>52.84</v>
      </c>
    </row>
    <row r="7" spans="1:90" x14ac:dyDescent="0.35">
      <c r="B7" s="38">
        <v>485</v>
      </c>
      <c r="C7" s="38">
        <v>63.87</v>
      </c>
      <c r="E7" s="38">
        <v>213</v>
      </c>
      <c r="F7" s="38">
        <v>64.599999999999994</v>
      </c>
      <c r="H7" s="53">
        <v>538</v>
      </c>
      <c r="I7" s="53">
        <v>66.81</v>
      </c>
      <c r="K7" s="53">
        <v>610</v>
      </c>
      <c r="L7" s="53">
        <v>65.94</v>
      </c>
      <c r="N7" s="53">
        <v>423</v>
      </c>
      <c r="O7" s="53">
        <v>66.2</v>
      </c>
      <c r="Q7" s="53">
        <v>464</v>
      </c>
      <c r="R7" s="53">
        <v>65.12</v>
      </c>
      <c r="T7" s="81">
        <v>355</v>
      </c>
      <c r="U7" s="81">
        <v>63.17</v>
      </c>
      <c r="W7" s="84">
        <v>258</v>
      </c>
      <c r="X7" s="84">
        <v>65.099999999999994</v>
      </c>
      <c r="Z7" s="53">
        <v>391</v>
      </c>
      <c r="AA7" s="53">
        <v>62.66</v>
      </c>
      <c r="AC7" s="53">
        <v>459</v>
      </c>
      <c r="AD7" s="53">
        <v>63.41</v>
      </c>
      <c r="AF7" s="53">
        <v>375</v>
      </c>
      <c r="AG7" s="53">
        <v>63.53</v>
      </c>
      <c r="AI7" s="84">
        <v>264</v>
      </c>
      <c r="AJ7" s="84">
        <v>61.42</v>
      </c>
      <c r="AL7" s="53">
        <v>284</v>
      </c>
      <c r="AM7" s="53">
        <v>65.5</v>
      </c>
      <c r="AO7" s="84">
        <v>285</v>
      </c>
      <c r="AP7" s="84">
        <v>62.54</v>
      </c>
      <c r="AR7" s="53">
        <v>336</v>
      </c>
      <c r="AS7" s="53">
        <v>60.84</v>
      </c>
      <c r="AU7" s="84">
        <v>304</v>
      </c>
      <c r="AV7" s="84">
        <v>62.03</v>
      </c>
      <c r="AX7" s="53">
        <v>327</v>
      </c>
      <c r="AY7" s="53">
        <v>57.21</v>
      </c>
      <c r="BA7" s="84">
        <v>278</v>
      </c>
      <c r="BB7" s="84">
        <v>58.93</v>
      </c>
      <c r="BD7" s="53">
        <v>359</v>
      </c>
      <c r="BE7" s="53">
        <v>56.63</v>
      </c>
      <c r="BG7" s="84">
        <v>500</v>
      </c>
      <c r="BH7" s="84">
        <v>58.39</v>
      </c>
      <c r="BM7" s="81">
        <v>525</v>
      </c>
      <c r="BN7" s="81">
        <v>47.62</v>
      </c>
    </row>
    <row r="8" spans="1:90" x14ac:dyDescent="0.35">
      <c r="B8" s="38">
        <v>675</v>
      </c>
      <c r="C8" s="38">
        <v>62.94</v>
      </c>
      <c r="E8" s="38">
        <v>302</v>
      </c>
      <c r="F8" s="38">
        <v>64.430000000000007</v>
      </c>
      <c r="H8" s="53">
        <v>711</v>
      </c>
      <c r="I8" s="53">
        <v>66.319999999999993</v>
      </c>
      <c r="K8" s="53">
        <v>677</v>
      </c>
      <c r="L8" s="53">
        <v>66.25</v>
      </c>
      <c r="N8" s="53">
        <v>505</v>
      </c>
      <c r="O8" s="53">
        <v>65.989999999999995</v>
      </c>
      <c r="Q8" s="53">
        <v>545</v>
      </c>
      <c r="R8" s="53">
        <v>64.569999999999993</v>
      </c>
      <c r="T8" s="81">
        <v>435</v>
      </c>
      <c r="U8" s="81">
        <v>63.83</v>
      </c>
      <c r="W8" s="84">
        <v>359</v>
      </c>
      <c r="X8" s="84">
        <v>64.87</v>
      </c>
      <c r="Z8" s="53">
        <v>496</v>
      </c>
      <c r="AA8" s="53">
        <v>62.97</v>
      </c>
      <c r="AC8" s="53">
        <v>584</v>
      </c>
      <c r="AD8" s="53">
        <v>62.66</v>
      </c>
      <c r="AF8" s="53">
        <v>464</v>
      </c>
      <c r="AG8" s="53">
        <v>63.66</v>
      </c>
      <c r="AI8" s="84">
        <v>360</v>
      </c>
      <c r="AJ8" s="84">
        <v>61.29</v>
      </c>
      <c r="AL8" s="53">
        <v>357</v>
      </c>
      <c r="AM8" s="53">
        <v>66.8</v>
      </c>
      <c r="AO8" s="84">
        <v>365</v>
      </c>
      <c r="AP8" s="84">
        <v>62.97</v>
      </c>
      <c r="AR8" s="53">
        <v>416</v>
      </c>
      <c r="AS8" s="53">
        <v>60.81</v>
      </c>
      <c r="AT8" s="13" t="s">
        <v>110</v>
      </c>
      <c r="AU8" s="83">
        <v>492</v>
      </c>
      <c r="AV8" s="83">
        <v>57.92</v>
      </c>
      <c r="AX8" s="53">
        <v>400</v>
      </c>
      <c r="AY8" s="38">
        <v>58.58</v>
      </c>
      <c r="BA8" s="81">
        <v>446</v>
      </c>
      <c r="BB8" s="81">
        <v>55.96</v>
      </c>
      <c r="BD8" s="53">
        <v>472</v>
      </c>
      <c r="BE8" s="53">
        <v>57.63</v>
      </c>
      <c r="BG8" s="84">
        <v>552</v>
      </c>
      <c r="BH8" s="84">
        <v>60.67</v>
      </c>
      <c r="BM8" s="81">
        <v>688</v>
      </c>
      <c r="BN8" s="81">
        <v>51.94</v>
      </c>
    </row>
    <row r="9" spans="1:90" x14ac:dyDescent="0.35">
      <c r="B9" s="38">
        <v>839</v>
      </c>
      <c r="C9" s="38">
        <v>63</v>
      </c>
      <c r="E9" s="38">
        <v>374</v>
      </c>
      <c r="F9" s="38">
        <v>64.569999999999993</v>
      </c>
      <c r="H9" s="53">
        <v>951</v>
      </c>
      <c r="I9" s="53">
        <v>67.319999999999993</v>
      </c>
      <c r="K9" s="53">
        <v>813</v>
      </c>
      <c r="L9" s="53">
        <v>66.010000000000005</v>
      </c>
      <c r="N9" s="53">
        <v>661</v>
      </c>
      <c r="O9" s="53">
        <v>64.84</v>
      </c>
      <c r="Q9" s="53">
        <v>623</v>
      </c>
      <c r="R9" s="53">
        <v>64.42</v>
      </c>
      <c r="S9" s="19" t="s">
        <v>110</v>
      </c>
      <c r="T9" s="82">
        <v>503</v>
      </c>
      <c r="U9" s="82">
        <v>64.69</v>
      </c>
      <c r="W9" s="84">
        <v>431</v>
      </c>
      <c r="X9" s="84">
        <v>64.540000000000006</v>
      </c>
      <c r="Z9" s="53">
        <v>587</v>
      </c>
      <c r="AA9" s="53">
        <v>61.4</v>
      </c>
      <c r="AB9" s="13" t="s">
        <v>110</v>
      </c>
      <c r="AC9" s="40">
        <v>632</v>
      </c>
      <c r="AD9" s="40">
        <v>62.36</v>
      </c>
      <c r="AF9" s="53">
        <v>546</v>
      </c>
      <c r="AG9" s="53">
        <v>63.48</v>
      </c>
      <c r="AI9" s="84">
        <v>731</v>
      </c>
      <c r="AJ9" s="84">
        <v>62.51</v>
      </c>
      <c r="AL9" s="53">
        <v>395</v>
      </c>
      <c r="AM9" s="53">
        <v>65.569999999999993</v>
      </c>
      <c r="AO9" s="84">
        <v>541</v>
      </c>
      <c r="AP9" s="84">
        <v>62.71</v>
      </c>
      <c r="AR9" s="53">
        <v>490</v>
      </c>
      <c r="AS9" s="53">
        <v>61.83</v>
      </c>
      <c r="AU9" s="83">
        <v>526</v>
      </c>
      <c r="AV9" s="83">
        <v>56.84</v>
      </c>
      <c r="AX9" s="53">
        <v>466</v>
      </c>
      <c r="AY9" s="53">
        <v>58.36</v>
      </c>
      <c r="AZ9" s="13" t="s">
        <v>119</v>
      </c>
      <c r="BA9" s="83">
        <v>520</v>
      </c>
      <c r="BB9" s="83">
        <v>54.16</v>
      </c>
      <c r="BD9" s="53">
        <v>636</v>
      </c>
      <c r="BE9" s="53">
        <v>55.44</v>
      </c>
      <c r="BG9" s="84">
        <v>623</v>
      </c>
      <c r="BH9" s="84">
        <v>60.28</v>
      </c>
      <c r="BM9" s="81">
        <v>832</v>
      </c>
      <c r="BN9" s="81">
        <v>52.54</v>
      </c>
    </row>
    <row r="10" spans="1:90" x14ac:dyDescent="0.35">
      <c r="B10" s="38">
        <v>916</v>
      </c>
      <c r="C10" s="38">
        <v>63.36</v>
      </c>
      <c r="E10" s="38">
        <v>540</v>
      </c>
      <c r="F10" s="38">
        <v>64.78</v>
      </c>
      <c r="H10" s="53">
        <v>1101</v>
      </c>
      <c r="I10" s="53">
        <v>65.290000000000006</v>
      </c>
      <c r="K10" s="53">
        <v>908</v>
      </c>
      <c r="L10" s="53">
        <v>66.44</v>
      </c>
      <c r="N10" s="53">
        <v>738</v>
      </c>
      <c r="O10" s="53">
        <v>64.97</v>
      </c>
      <c r="Q10" s="53">
        <v>720</v>
      </c>
      <c r="R10" s="53">
        <v>65.23</v>
      </c>
      <c r="T10" s="81">
        <v>544</v>
      </c>
      <c r="U10" s="81">
        <v>64.290000000000006</v>
      </c>
      <c r="W10" s="84">
        <v>601</v>
      </c>
      <c r="X10" s="84">
        <v>64.98</v>
      </c>
      <c r="Z10" s="53">
        <v>692</v>
      </c>
      <c r="AA10" s="53">
        <v>59.81</v>
      </c>
      <c r="AC10" s="40">
        <v>732</v>
      </c>
      <c r="AD10" s="40">
        <v>62.24</v>
      </c>
      <c r="AF10" s="53">
        <v>621</v>
      </c>
      <c r="AG10" s="53">
        <v>63.9</v>
      </c>
      <c r="AI10" s="84">
        <v>811</v>
      </c>
      <c r="AJ10" s="84">
        <v>61.83</v>
      </c>
      <c r="AL10" s="53">
        <v>441</v>
      </c>
      <c r="AM10" s="53">
        <v>64.09</v>
      </c>
      <c r="AO10" s="84">
        <v>629</v>
      </c>
      <c r="AP10" s="84">
        <v>62.43</v>
      </c>
      <c r="AR10" s="53">
        <v>639</v>
      </c>
      <c r="AS10" s="53">
        <v>61.68</v>
      </c>
      <c r="AU10" s="81">
        <v>656</v>
      </c>
      <c r="AV10" s="81">
        <v>57.56</v>
      </c>
      <c r="AX10" s="53">
        <v>531</v>
      </c>
      <c r="AY10" s="53">
        <v>58.51</v>
      </c>
      <c r="BA10" s="84">
        <v>582</v>
      </c>
      <c r="BB10" s="84">
        <v>55.49</v>
      </c>
      <c r="BD10" s="53">
        <v>704</v>
      </c>
      <c r="BE10" s="53">
        <v>54.78</v>
      </c>
      <c r="BG10" s="84">
        <v>668</v>
      </c>
      <c r="BH10" s="84">
        <v>60.03</v>
      </c>
      <c r="BM10" s="81">
        <v>963</v>
      </c>
      <c r="BN10" s="81">
        <v>53.63</v>
      </c>
    </row>
    <row r="11" spans="1:90" x14ac:dyDescent="0.35">
      <c r="B11" s="38">
        <v>997</v>
      </c>
      <c r="C11" s="38">
        <v>63.74</v>
      </c>
      <c r="E11" s="38">
        <v>623</v>
      </c>
      <c r="F11" s="38">
        <v>64.739999999999995</v>
      </c>
      <c r="H11" s="53">
        <v>1233</v>
      </c>
      <c r="I11" s="53">
        <v>65.2</v>
      </c>
      <c r="K11" s="53">
        <v>1005</v>
      </c>
      <c r="L11" s="53">
        <v>66.28</v>
      </c>
      <c r="M11" s="19" t="s">
        <v>110</v>
      </c>
      <c r="N11" s="39">
        <v>833</v>
      </c>
      <c r="O11" s="39">
        <v>64.89</v>
      </c>
      <c r="Q11" s="53">
        <v>808</v>
      </c>
      <c r="R11" s="53">
        <v>65.14</v>
      </c>
      <c r="T11" s="81">
        <v>680</v>
      </c>
      <c r="U11" s="81">
        <v>64.55</v>
      </c>
      <c r="W11" s="84">
        <v>685</v>
      </c>
      <c r="X11" s="84">
        <v>65.7</v>
      </c>
      <c r="Z11" s="53">
        <v>771</v>
      </c>
      <c r="AA11" s="53">
        <v>61.09</v>
      </c>
      <c r="AC11" s="40">
        <v>871</v>
      </c>
      <c r="AD11" s="40">
        <v>62.29</v>
      </c>
      <c r="AF11" s="53">
        <v>709</v>
      </c>
      <c r="AG11" s="53">
        <v>63.3</v>
      </c>
      <c r="AI11" s="84">
        <v>891</v>
      </c>
      <c r="AJ11" s="84">
        <v>61.83</v>
      </c>
      <c r="AL11" s="53">
        <v>486</v>
      </c>
      <c r="AM11" s="53">
        <v>64</v>
      </c>
      <c r="AO11" s="84">
        <v>721</v>
      </c>
      <c r="AP11" s="84">
        <v>62.53</v>
      </c>
      <c r="AR11" s="53">
        <v>802</v>
      </c>
      <c r="AS11" s="53">
        <v>62.51</v>
      </c>
      <c r="AU11" s="84">
        <v>796</v>
      </c>
      <c r="AV11" s="84">
        <v>58.4</v>
      </c>
      <c r="AX11" s="53">
        <v>581</v>
      </c>
      <c r="AY11" s="53">
        <v>58.07</v>
      </c>
      <c r="BA11" s="84">
        <v>610</v>
      </c>
      <c r="BB11" s="84">
        <v>56.56</v>
      </c>
      <c r="BD11" s="53">
        <v>794</v>
      </c>
      <c r="BE11" s="53">
        <v>55.02</v>
      </c>
      <c r="BG11" s="84">
        <v>723</v>
      </c>
      <c r="BH11" s="84">
        <v>58.81</v>
      </c>
      <c r="BM11" s="81">
        <v>1065</v>
      </c>
      <c r="BN11" s="81">
        <v>54.3</v>
      </c>
    </row>
    <row r="12" spans="1:90" x14ac:dyDescent="0.35">
      <c r="B12" s="38">
        <v>1078</v>
      </c>
      <c r="C12" s="38">
        <v>64.790000000000006</v>
      </c>
      <c r="D12" s="13" t="s">
        <v>110</v>
      </c>
      <c r="E12" s="40">
        <v>783</v>
      </c>
      <c r="F12" s="40">
        <v>64.22</v>
      </c>
      <c r="H12" s="53">
        <v>1383</v>
      </c>
      <c r="I12" s="53">
        <v>65.099999999999994</v>
      </c>
      <c r="J12" s="13" t="s">
        <v>110</v>
      </c>
      <c r="K12" s="40">
        <v>1085</v>
      </c>
      <c r="L12" s="40">
        <v>65.84</v>
      </c>
      <c r="N12" s="39">
        <v>912</v>
      </c>
      <c r="O12" s="39">
        <v>64.23</v>
      </c>
      <c r="Q12" s="53">
        <v>902</v>
      </c>
      <c r="R12" s="53">
        <v>65.19</v>
      </c>
      <c r="T12" s="81">
        <v>776</v>
      </c>
      <c r="U12" s="81">
        <v>64.27</v>
      </c>
      <c r="W12" s="84">
        <v>764</v>
      </c>
      <c r="X12" s="84">
        <v>66.02</v>
      </c>
      <c r="Z12" s="53">
        <v>867</v>
      </c>
      <c r="AA12" s="53">
        <v>62.32</v>
      </c>
      <c r="AC12" s="40">
        <v>1009</v>
      </c>
      <c r="AD12" s="40">
        <v>62.26</v>
      </c>
      <c r="AF12" s="53">
        <v>789</v>
      </c>
      <c r="AG12" s="53">
        <v>62.79</v>
      </c>
      <c r="AI12" s="84">
        <v>1001</v>
      </c>
      <c r="AJ12" s="84">
        <v>56.35</v>
      </c>
      <c r="AL12" s="53">
        <v>560</v>
      </c>
      <c r="AM12" s="53">
        <v>64.08</v>
      </c>
      <c r="AO12" s="84">
        <v>817</v>
      </c>
      <c r="AP12" s="84">
        <v>61.68</v>
      </c>
      <c r="AR12" s="53">
        <v>959</v>
      </c>
      <c r="AS12" s="53">
        <v>61.83</v>
      </c>
      <c r="AU12" s="84">
        <v>881</v>
      </c>
      <c r="AV12" s="84">
        <v>58.38</v>
      </c>
      <c r="AX12" s="53">
        <v>612</v>
      </c>
      <c r="AY12" s="53">
        <v>57.95</v>
      </c>
      <c r="BA12" s="84">
        <v>694</v>
      </c>
      <c r="BB12" s="84">
        <v>57.84</v>
      </c>
      <c r="BD12" s="53">
        <v>1064</v>
      </c>
      <c r="BE12" s="53">
        <v>52.98</v>
      </c>
      <c r="BG12" s="84">
        <v>826</v>
      </c>
      <c r="BH12" s="84">
        <v>59.02</v>
      </c>
      <c r="BM12" s="81">
        <v>1230</v>
      </c>
      <c r="BN12" s="81">
        <v>55.01</v>
      </c>
    </row>
    <row r="13" spans="1:90" x14ac:dyDescent="0.35">
      <c r="B13" s="38">
        <v>1156</v>
      </c>
      <c r="C13" s="38">
        <v>64.88</v>
      </c>
      <c r="E13" s="40">
        <v>930</v>
      </c>
      <c r="F13" s="40">
        <v>65.03</v>
      </c>
      <c r="H13" s="53">
        <v>1558</v>
      </c>
      <c r="I13" s="53">
        <v>65.540000000000006</v>
      </c>
      <c r="K13" s="40">
        <v>1174</v>
      </c>
      <c r="L13" s="40">
        <v>65.989999999999995</v>
      </c>
      <c r="N13" s="53">
        <v>980</v>
      </c>
      <c r="O13" s="53">
        <v>64.44</v>
      </c>
      <c r="Q13" s="53">
        <v>982</v>
      </c>
      <c r="R13" s="53">
        <v>63.79</v>
      </c>
      <c r="T13" s="81">
        <v>848</v>
      </c>
      <c r="U13" s="81">
        <v>63.28</v>
      </c>
      <c r="W13" s="84">
        <v>861</v>
      </c>
      <c r="X13" s="84">
        <v>65</v>
      </c>
      <c r="Z13" s="53">
        <v>1043</v>
      </c>
      <c r="AA13" s="53">
        <v>63.83</v>
      </c>
      <c r="AC13" s="40">
        <v>1084</v>
      </c>
      <c r="AD13" s="40">
        <v>62.36</v>
      </c>
      <c r="AF13" s="53">
        <v>875</v>
      </c>
      <c r="AG13" s="53">
        <v>62.39</v>
      </c>
      <c r="AI13" s="84">
        <v>1224</v>
      </c>
      <c r="AJ13" s="84">
        <v>58.5</v>
      </c>
      <c r="AL13" s="53">
        <v>687</v>
      </c>
      <c r="AM13" s="53">
        <v>6</v>
      </c>
      <c r="AN13" s="13" t="s">
        <v>110</v>
      </c>
      <c r="AO13" s="83">
        <v>873</v>
      </c>
      <c r="AP13" s="83">
        <v>61.97</v>
      </c>
      <c r="AR13" s="53">
        <v>1074</v>
      </c>
      <c r="AS13" s="53">
        <v>56.35</v>
      </c>
      <c r="AU13" s="81">
        <v>1052</v>
      </c>
      <c r="AV13" s="81">
        <v>57.89</v>
      </c>
      <c r="AX13" s="53">
        <v>780</v>
      </c>
      <c r="AY13" s="53">
        <v>57.67</v>
      </c>
      <c r="BA13" s="84">
        <v>770</v>
      </c>
      <c r="BB13" s="84">
        <v>58.43</v>
      </c>
      <c r="BD13" s="53">
        <v>1125</v>
      </c>
      <c r="BE13" s="53">
        <v>52.78</v>
      </c>
      <c r="BG13" s="84">
        <v>853</v>
      </c>
      <c r="BH13" s="84">
        <v>59.49</v>
      </c>
      <c r="BM13" s="81">
        <v>1313</v>
      </c>
      <c r="BN13" s="81">
        <v>55.3</v>
      </c>
    </row>
    <row r="14" spans="1:90" x14ac:dyDescent="0.35">
      <c r="B14" s="38">
        <v>1203</v>
      </c>
      <c r="C14" s="38">
        <v>65.319999999999993</v>
      </c>
      <c r="E14" s="38">
        <v>960</v>
      </c>
      <c r="F14" s="38">
        <v>65.040000000000006</v>
      </c>
      <c r="H14" s="53">
        <v>1728</v>
      </c>
      <c r="I14" s="53">
        <v>64.98</v>
      </c>
      <c r="J14" s="13" t="s">
        <v>110</v>
      </c>
      <c r="K14" s="40">
        <v>1208</v>
      </c>
      <c r="L14" s="40">
        <v>66.12</v>
      </c>
      <c r="N14" s="53">
        <v>1211</v>
      </c>
      <c r="O14" s="53">
        <v>65.400000000000006</v>
      </c>
      <c r="Q14" s="53">
        <v>1149</v>
      </c>
      <c r="R14" s="53">
        <v>64.069999999999993</v>
      </c>
      <c r="T14" s="81">
        <v>1012</v>
      </c>
      <c r="U14" s="81">
        <v>62.97</v>
      </c>
      <c r="W14" s="84">
        <v>1011</v>
      </c>
      <c r="X14" s="84">
        <v>65.06</v>
      </c>
      <c r="Z14" s="53">
        <v>1116</v>
      </c>
      <c r="AA14" s="53">
        <v>62.97</v>
      </c>
      <c r="AC14" s="40">
        <v>1173</v>
      </c>
      <c r="AD14" s="40">
        <v>62.11</v>
      </c>
      <c r="AF14" s="53">
        <v>1041</v>
      </c>
      <c r="AG14" s="53">
        <v>62.42</v>
      </c>
      <c r="AI14" s="84">
        <v>1434</v>
      </c>
      <c r="AJ14" s="84">
        <v>60.01</v>
      </c>
      <c r="AL14" s="53">
        <v>772</v>
      </c>
      <c r="AM14" s="53">
        <v>12</v>
      </c>
      <c r="AO14" s="83">
        <v>966</v>
      </c>
      <c r="AP14" s="83">
        <v>62.54</v>
      </c>
      <c r="AR14" s="53">
        <v>1125</v>
      </c>
      <c r="AS14" s="53">
        <v>52.18</v>
      </c>
      <c r="AU14" s="81">
        <v>1304</v>
      </c>
      <c r="AV14" s="81">
        <v>57.66</v>
      </c>
      <c r="AX14" s="53">
        <v>873</v>
      </c>
      <c r="AY14" s="53">
        <v>57.55</v>
      </c>
      <c r="BA14" s="84">
        <v>817</v>
      </c>
      <c r="BB14" s="84">
        <v>58.01</v>
      </c>
      <c r="BD14" s="53">
        <v>1280</v>
      </c>
      <c r="BE14" s="53">
        <v>48.49</v>
      </c>
      <c r="BG14" s="84">
        <v>962</v>
      </c>
      <c r="BH14" s="84">
        <v>60.42</v>
      </c>
      <c r="BM14" s="81">
        <v>1391</v>
      </c>
      <c r="BN14" s="81">
        <v>55.69</v>
      </c>
    </row>
    <row r="15" spans="1:90" x14ac:dyDescent="0.35">
      <c r="B15" s="38">
        <v>1237</v>
      </c>
      <c r="C15" s="38">
        <v>65.36</v>
      </c>
      <c r="E15" s="38">
        <v>1062</v>
      </c>
      <c r="F15" s="38">
        <v>64.75</v>
      </c>
      <c r="H15" s="53">
        <v>1889</v>
      </c>
      <c r="I15" s="53">
        <v>66.03</v>
      </c>
      <c r="K15" s="40">
        <v>1256</v>
      </c>
      <c r="L15" s="40">
        <v>65.89</v>
      </c>
      <c r="N15" s="53">
        <v>1303</v>
      </c>
      <c r="O15" s="53">
        <v>65.25</v>
      </c>
      <c r="Q15" s="53">
        <v>1319</v>
      </c>
      <c r="R15" s="53">
        <v>63.3</v>
      </c>
      <c r="T15" s="81">
        <v>1170</v>
      </c>
      <c r="U15" s="81">
        <v>63.36</v>
      </c>
      <c r="W15" s="84">
        <v>1148</v>
      </c>
      <c r="X15" s="84">
        <v>64.97</v>
      </c>
      <c r="Z15" s="53">
        <v>1246</v>
      </c>
      <c r="AA15" s="53">
        <v>62.8</v>
      </c>
      <c r="AC15" s="40">
        <v>1227</v>
      </c>
      <c r="AD15" s="40">
        <v>61.94</v>
      </c>
      <c r="AF15" s="53">
        <v>1110</v>
      </c>
      <c r="AG15" s="53">
        <v>63</v>
      </c>
      <c r="AI15" s="84">
        <v>1701</v>
      </c>
      <c r="AJ15" s="84">
        <v>64.900000000000006</v>
      </c>
      <c r="AL15" s="53">
        <v>879</v>
      </c>
      <c r="AM15" s="53">
        <v>21</v>
      </c>
      <c r="AN15" s="13" t="s">
        <v>54</v>
      </c>
      <c r="AO15" s="83">
        <v>1082</v>
      </c>
      <c r="AP15" s="83">
        <v>61.53</v>
      </c>
      <c r="AR15" s="53">
        <v>1230</v>
      </c>
      <c r="AS15" s="53">
        <v>58.49</v>
      </c>
      <c r="AU15" s="81">
        <v>1461</v>
      </c>
      <c r="AV15" s="81">
        <v>58.27</v>
      </c>
      <c r="AW15" s="19" t="s">
        <v>64</v>
      </c>
      <c r="AX15" s="39">
        <v>954</v>
      </c>
      <c r="AY15" s="39">
        <v>57.92</v>
      </c>
      <c r="BA15" s="84">
        <v>1003</v>
      </c>
      <c r="BB15" s="84">
        <v>59</v>
      </c>
      <c r="BD15" s="53">
        <v>1554</v>
      </c>
      <c r="BE15" s="53">
        <v>52.54</v>
      </c>
      <c r="BG15" s="84">
        <v>1142</v>
      </c>
      <c r="BH15" s="84">
        <v>59.17</v>
      </c>
      <c r="BM15" s="81">
        <v>1477</v>
      </c>
      <c r="BN15" s="81">
        <v>55.83</v>
      </c>
    </row>
    <row r="16" spans="1:90" x14ac:dyDescent="0.35">
      <c r="B16" s="38">
        <v>1318</v>
      </c>
      <c r="C16" s="38">
        <v>65.17</v>
      </c>
      <c r="E16" s="38">
        <v>1140</v>
      </c>
      <c r="F16" s="38">
        <v>64.25</v>
      </c>
      <c r="H16" s="53">
        <v>2015</v>
      </c>
      <c r="I16" s="53">
        <v>54.75</v>
      </c>
      <c r="J16" s="13" t="s">
        <v>110</v>
      </c>
      <c r="K16" s="40">
        <v>1307</v>
      </c>
      <c r="L16" s="40">
        <v>66.319999999999993</v>
      </c>
      <c r="N16" s="53">
        <v>1360</v>
      </c>
      <c r="O16" s="53">
        <v>65.31</v>
      </c>
      <c r="Q16" s="53">
        <v>1480</v>
      </c>
      <c r="R16" s="53">
        <v>63.09</v>
      </c>
      <c r="T16" s="81">
        <v>1217</v>
      </c>
      <c r="U16" s="81">
        <v>63.24</v>
      </c>
      <c r="W16" s="84">
        <v>1212</v>
      </c>
      <c r="X16" s="84">
        <v>64.790000000000006</v>
      </c>
      <c r="Z16" s="53">
        <v>1331</v>
      </c>
      <c r="AA16" s="53">
        <v>63.21</v>
      </c>
      <c r="AC16" s="53">
        <v>1345</v>
      </c>
      <c r="AD16" s="53">
        <v>62.65</v>
      </c>
      <c r="AF16" s="53">
        <v>1206</v>
      </c>
      <c r="AG16" s="53">
        <v>63.53</v>
      </c>
      <c r="AI16" s="84">
        <v>1815</v>
      </c>
      <c r="AJ16" s="84">
        <v>65.8</v>
      </c>
      <c r="AL16" s="53">
        <v>1028</v>
      </c>
      <c r="AM16" s="53">
        <v>64.03</v>
      </c>
      <c r="AR16" s="53">
        <v>1297</v>
      </c>
      <c r="AS16" s="53">
        <v>58.5</v>
      </c>
      <c r="AU16" s="81">
        <v>1637</v>
      </c>
      <c r="AV16" s="81">
        <v>58.43</v>
      </c>
      <c r="AX16" s="39">
        <v>985</v>
      </c>
      <c r="AY16" s="39">
        <v>56.84</v>
      </c>
      <c r="BA16" s="84">
        <v>1071</v>
      </c>
      <c r="BB16" s="84">
        <v>59.22</v>
      </c>
      <c r="BD16" s="53">
        <v>1683</v>
      </c>
      <c r="BE16" s="53">
        <v>53.63</v>
      </c>
      <c r="BG16" s="84">
        <v>1306</v>
      </c>
      <c r="BH16" s="84">
        <v>60.39</v>
      </c>
      <c r="BM16" s="81">
        <v>1552</v>
      </c>
      <c r="BN16" s="81">
        <v>55.8</v>
      </c>
    </row>
    <row r="17" spans="2:66" x14ac:dyDescent="0.35">
      <c r="B17" s="38">
        <v>1398</v>
      </c>
      <c r="C17" s="38">
        <v>65.02</v>
      </c>
      <c r="E17" s="38">
        <v>1223</v>
      </c>
      <c r="F17" s="38">
        <v>65.66</v>
      </c>
      <c r="H17" s="53">
        <v>2118</v>
      </c>
      <c r="I17" s="53">
        <v>64.540000000000006</v>
      </c>
      <c r="K17" s="40">
        <v>1616</v>
      </c>
      <c r="L17" s="40">
        <v>66.260000000000005</v>
      </c>
      <c r="N17" s="53">
        <v>1393</v>
      </c>
      <c r="O17" s="53">
        <v>66.28</v>
      </c>
      <c r="P17" s="13" t="s">
        <v>119</v>
      </c>
      <c r="Q17" s="40">
        <v>1539</v>
      </c>
      <c r="R17" s="40">
        <v>62.24</v>
      </c>
      <c r="T17" s="81">
        <v>1289</v>
      </c>
      <c r="U17" s="81">
        <v>62.84</v>
      </c>
      <c r="W17" s="84">
        <v>1313</v>
      </c>
      <c r="X17" s="84">
        <v>64.8</v>
      </c>
      <c r="Z17" s="53">
        <v>1464</v>
      </c>
      <c r="AA17" s="53">
        <v>62.77</v>
      </c>
      <c r="AC17" s="53">
        <v>1460</v>
      </c>
      <c r="AD17" s="53">
        <v>62.28</v>
      </c>
      <c r="AF17" s="53">
        <v>1354</v>
      </c>
      <c r="AG17" s="53">
        <v>62.12</v>
      </c>
      <c r="AI17" s="84">
        <v>2102</v>
      </c>
      <c r="AJ17" s="84">
        <v>68.36</v>
      </c>
      <c r="AL17" s="53">
        <v>1118</v>
      </c>
      <c r="AM17" s="53">
        <v>63.83</v>
      </c>
      <c r="AR17" s="53">
        <v>1511</v>
      </c>
      <c r="AS17" s="53">
        <v>60.01</v>
      </c>
      <c r="AU17" s="81">
        <v>1810</v>
      </c>
      <c r="AV17" s="81">
        <v>57.67</v>
      </c>
      <c r="AX17" s="53">
        <v>1133</v>
      </c>
      <c r="AY17" s="53">
        <v>57.56</v>
      </c>
      <c r="BA17" s="84">
        <v>1113</v>
      </c>
      <c r="BB17" s="84">
        <v>59.32</v>
      </c>
      <c r="BD17" s="53">
        <v>1790</v>
      </c>
      <c r="BE17" s="53">
        <v>54.3</v>
      </c>
      <c r="BG17" s="84">
        <v>1384</v>
      </c>
      <c r="BH17" s="84">
        <v>58.24</v>
      </c>
      <c r="BM17" s="81">
        <v>1623</v>
      </c>
      <c r="BN17" s="81">
        <v>55.66</v>
      </c>
    </row>
    <row r="18" spans="2:66" x14ac:dyDescent="0.35">
      <c r="B18" s="38">
        <v>1442</v>
      </c>
      <c r="C18" s="38">
        <v>64.94</v>
      </c>
      <c r="E18" s="38">
        <v>1322</v>
      </c>
      <c r="F18" s="38">
        <v>66.209999999999994</v>
      </c>
      <c r="H18" s="53">
        <v>2226</v>
      </c>
      <c r="I18" s="53">
        <v>65.17</v>
      </c>
      <c r="K18" s="40">
        <v>1718</v>
      </c>
      <c r="L18" s="40">
        <v>66.36</v>
      </c>
      <c r="N18" s="53">
        <v>1562</v>
      </c>
      <c r="O18" s="53">
        <v>65.84</v>
      </c>
      <c r="Q18" s="53">
        <v>1604</v>
      </c>
      <c r="R18" s="53">
        <v>62.88</v>
      </c>
      <c r="T18" s="81">
        <v>1371</v>
      </c>
      <c r="U18" s="81">
        <v>62.81</v>
      </c>
      <c r="W18" s="84">
        <v>1389</v>
      </c>
      <c r="X18" s="84">
        <v>64.75</v>
      </c>
      <c r="Z18" s="53">
        <v>1613</v>
      </c>
      <c r="AA18" s="53">
        <v>62.91</v>
      </c>
      <c r="AC18" s="53">
        <v>1516</v>
      </c>
      <c r="AD18" s="53">
        <v>62.21</v>
      </c>
      <c r="AF18" s="53">
        <v>1422</v>
      </c>
      <c r="AG18" s="53">
        <v>62.62</v>
      </c>
      <c r="AI18" s="84">
        <v>2240</v>
      </c>
      <c r="AJ18" s="84">
        <v>67.569999999999993</v>
      </c>
      <c r="AL18" s="53">
        <v>1270</v>
      </c>
      <c r="AM18" s="53">
        <v>64.17</v>
      </c>
      <c r="AR18" s="53">
        <v>1744</v>
      </c>
      <c r="AS18" s="53">
        <v>64.09</v>
      </c>
      <c r="AU18" s="81">
        <v>1967</v>
      </c>
      <c r="AV18" s="81">
        <v>60.8</v>
      </c>
      <c r="AX18" s="53">
        <v>1312</v>
      </c>
      <c r="AY18" s="53">
        <v>57.97</v>
      </c>
      <c r="BA18" s="84">
        <v>1160</v>
      </c>
      <c r="BB18" s="84">
        <v>59.17</v>
      </c>
      <c r="BD18" s="53">
        <v>1862</v>
      </c>
      <c r="BE18" s="53">
        <v>54.24</v>
      </c>
      <c r="BG18" s="84">
        <v>1585</v>
      </c>
      <c r="BH18" s="84">
        <v>58.58</v>
      </c>
      <c r="BM18" s="81">
        <v>1718</v>
      </c>
      <c r="BN18" s="81">
        <v>55.68</v>
      </c>
    </row>
    <row r="19" spans="2:66" x14ac:dyDescent="0.35">
      <c r="B19" s="38">
        <v>1508</v>
      </c>
      <c r="C19" s="38">
        <v>64.77</v>
      </c>
      <c r="E19" s="38">
        <v>1414</v>
      </c>
      <c r="F19" s="38">
        <v>66.55</v>
      </c>
      <c r="H19" s="53">
        <v>2365</v>
      </c>
      <c r="I19" s="53">
        <v>64.25</v>
      </c>
      <c r="K19" s="38">
        <v>1869</v>
      </c>
      <c r="L19" s="38">
        <v>65.239999999999995</v>
      </c>
      <c r="N19" s="53">
        <v>1645</v>
      </c>
      <c r="O19" s="53">
        <v>66.2</v>
      </c>
      <c r="Q19" s="53">
        <v>1642</v>
      </c>
      <c r="R19" s="53">
        <v>63.05</v>
      </c>
      <c r="T19" s="81">
        <v>1468</v>
      </c>
      <c r="U19" s="81">
        <v>64.400000000000006</v>
      </c>
      <c r="W19" s="84">
        <v>1477</v>
      </c>
      <c r="X19" s="84">
        <v>64</v>
      </c>
      <c r="Z19" s="53">
        <v>1698</v>
      </c>
      <c r="AA19" s="53">
        <v>63.34</v>
      </c>
      <c r="AC19" s="53">
        <v>1582</v>
      </c>
      <c r="AD19" s="53">
        <v>63.23</v>
      </c>
      <c r="AF19" s="53">
        <v>1464</v>
      </c>
      <c r="AG19" s="53">
        <v>63.34</v>
      </c>
      <c r="AI19" s="84">
        <v>2460</v>
      </c>
      <c r="AJ19" s="84">
        <v>65.72</v>
      </c>
      <c r="AL19" s="53">
        <v>1356</v>
      </c>
      <c r="AM19" s="53">
        <v>67.010000000000005</v>
      </c>
      <c r="AR19" s="53">
        <v>1939</v>
      </c>
      <c r="AS19" s="53">
        <v>66.430000000000007</v>
      </c>
      <c r="AU19" s="81">
        <v>2075</v>
      </c>
      <c r="AV19" s="81">
        <v>60.38</v>
      </c>
      <c r="AX19" s="53">
        <v>1396</v>
      </c>
      <c r="AY19" s="53">
        <v>57.44</v>
      </c>
      <c r="BA19" s="84">
        <v>1238</v>
      </c>
      <c r="BB19" s="84">
        <v>58.92</v>
      </c>
      <c r="BD19" s="53">
        <v>1945</v>
      </c>
      <c r="BE19" s="53">
        <v>55.01</v>
      </c>
      <c r="BG19" s="84">
        <v>1670</v>
      </c>
      <c r="BH19" s="84">
        <v>58.18</v>
      </c>
      <c r="BM19" s="81">
        <v>1793</v>
      </c>
      <c r="BN19" s="81">
        <v>56.36</v>
      </c>
    </row>
    <row r="20" spans="2:66" x14ac:dyDescent="0.35">
      <c r="B20" s="38">
        <v>1593</v>
      </c>
      <c r="C20" s="38">
        <v>64.69</v>
      </c>
      <c r="E20" s="38">
        <v>1495</v>
      </c>
      <c r="F20" s="38">
        <v>66.69</v>
      </c>
      <c r="H20" s="53">
        <v>2527</v>
      </c>
      <c r="I20" s="53">
        <v>64.7</v>
      </c>
      <c r="K20" s="38">
        <v>2028</v>
      </c>
      <c r="L20" s="38">
        <v>67.900000000000006</v>
      </c>
      <c r="N20" s="53">
        <v>1763</v>
      </c>
      <c r="O20" s="53">
        <v>66.010000000000005</v>
      </c>
      <c r="P20" s="13" t="s">
        <v>110</v>
      </c>
      <c r="Q20" s="40">
        <v>1709</v>
      </c>
      <c r="R20" s="40">
        <v>63.65</v>
      </c>
      <c r="T20" s="81">
        <v>1541</v>
      </c>
      <c r="U20" s="81">
        <v>64.7</v>
      </c>
      <c r="V20" s="13" t="s">
        <v>110</v>
      </c>
      <c r="W20" s="83">
        <v>1634</v>
      </c>
      <c r="X20" s="83">
        <v>63.83</v>
      </c>
      <c r="Z20" s="53">
        <v>1795</v>
      </c>
      <c r="AA20" s="53">
        <v>64.08</v>
      </c>
      <c r="AC20" s="53">
        <v>1622</v>
      </c>
      <c r="AD20" s="53">
        <v>63.28</v>
      </c>
      <c r="AE20" s="19" t="s">
        <v>110</v>
      </c>
      <c r="AF20" s="9">
        <v>1533</v>
      </c>
      <c r="AG20" s="9">
        <v>63.76</v>
      </c>
      <c r="AI20" s="84">
        <v>2700</v>
      </c>
      <c r="AJ20" s="84">
        <v>62.96</v>
      </c>
      <c r="AL20" s="53">
        <v>1446</v>
      </c>
      <c r="AM20" s="53">
        <v>66.53</v>
      </c>
      <c r="AR20" s="53">
        <v>2176</v>
      </c>
      <c r="AS20" s="53">
        <v>68.36</v>
      </c>
      <c r="AT20" s="13" t="s">
        <v>110</v>
      </c>
      <c r="AU20" s="83">
        <v>2261</v>
      </c>
      <c r="AV20" s="83">
        <v>59.5</v>
      </c>
      <c r="AX20" s="53">
        <v>1690</v>
      </c>
      <c r="AY20" s="53">
        <v>58.3</v>
      </c>
      <c r="BA20" s="84">
        <v>1308</v>
      </c>
      <c r="BB20" s="84">
        <v>58.67</v>
      </c>
      <c r="BD20" s="53">
        <v>2027</v>
      </c>
      <c r="BE20" s="53">
        <v>55.3</v>
      </c>
      <c r="BG20" s="84">
        <v>1737</v>
      </c>
      <c r="BH20" s="84">
        <v>58.02</v>
      </c>
      <c r="BM20" s="81">
        <v>1867</v>
      </c>
      <c r="BN20" s="81">
        <v>56.94</v>
      </c>
    </row>
    <row r="21" spans="2:66" x14ac:dyDescent="0.35">
      <c r="B21" s="38">
        <v>1743</v>
      </c>
      <c r="C21" s="38">
        <v>64.930000000000007</v>
      </c>
      <c r="E21" s="38">
        <v>1585</v>
      </c>
      <c r="F21" s="38">
        <v>66.38</v>
      </c>
      <c r="G21" s="19" t="s">
        <v>110</v>
      </c>
      <c r="H21" s="39">
        <v>2721</v>
      </c>
      <c r="I21" s="39">
        <v>64.02</v>
      </c>
      <c r="K21" s="38">
        <v>2187</v>
      </c>
      <c r="L21" s="38">
        <v>67.62</v>
      </c>
      <c r="M21" s="19" t="s">
        <v>110</v>
      </c>
      <c r="N21" s="39">
        <v>1813</v>
      </c>
      <c r="O21" s="39">
        <v>66.48</v>
      </c>
      <c r="Q21" s="53">
        <v>1820</v>
      </c>
      <c r="R21" s="53">
        <v>64.400000000000006</v>
      </c>
      <c r="S21" s="22"/>
      <c r="T21" s="81">
        <v>1714</v>
      </c>
      <c r="U21" s="81">
        <v>64.7</v>
      </c>
      <c r="W21" s="83">
        <v>1734</v>
      </c>
      <c r="X21" s="83">
        <v>63.94</v>
      </c>
      <c r="Z21" s="53">
        <v>1880</v>
      </c>
      <c r="AA21" s="53">
        <v>65.459999999999994</v>
      </c>
      <c r="AC21" s="53">
        <v>1698</v>
      </c>
      <c r="AD21" s="53">
        <v>62.19</v>
      </c>
      <c r="AF21" s="53">
        <v>1642</v>
      </c>
      <c r="AG21" s="53">
        <v>64.34</v>
      </c>
      <c r="AI21" s="84">
        <v>2927</v>
      </c>
      <c r="AJ21" s="84">
        <v>62.774000000000001</v>
      </c>
      <c r="AL21" s="53">
        <v>1535</v>
      </c>
      <c r="AM21" s="53">
        <v>63.93</v>
      </c>
      <c r="AR21" s="53">
        <v>2308</v>
      </c>
      <c r="AS21" s="53">
        <v>67.569999999999993</v>
      </c>
      <c r="AU21" s="83">
        <v>2332</v>
      </c>
      <c r="AV21" s="83">
        <v>59.91</v>
      </c>
      <c r="AX21" s="53">
        <v>1937</v>
      </c>
      <c r="AY21" s="53">
        <v>58.27</v>
      </c>
      <c r="BA21" s="84">
        <v>1422</v>
      </c>
      <c r="BB21" s="84">
        <v>57.99</v>
      </c>
      <c r="BD21" s="53">
        <v>2106</v>
      </c>
      <c r="BE21" s="53">
        <v>55.69</v>
      </c>
      <c r="BG21" s="84">
        <v>1889</v>
      </c>
      <c r="BH21" s="84">
        <v>56.65</v>
      </c>
      <c r="BM21" s="81">
        <v>1941</v>
      </c>
      <c r="BN21" s="81">
        <v>56.86</v>
      </c>
    </row>
    <row r="22" spans="2:66" x14ac:dyDescent="0.35">
      <c r="B22" s="38">
        <v>1823</v>
      </c>
      <c r="C22" s="38">
        <v>64.95</v>
      </c>
      <c r="E22" s="38">
        <v>1647</v>
      </c>
      <c r="F22" s="38">
        <v>66.11</v>
      </c>
      <c r="H22" s="39">
        <v>2867</v>
      </c>
      <c r="I22" s="39">
        <v>63.94</v>
      </c>
      <c r="K22" s="38">
        <v>2310</v>
      </c>
      <c r="L22" s="38">
        <v>65.08</v>
      </c>
      <c r="N22" s="39">
        <v>1943</v>
      </c>
      <c r="O22" s="39">
        <v>66.25</v>
      </c>
      <c r="Q22" s="53">
        <v>1935</v>
      </c>
      <c r="R22" s="53">
        <v>64.95</v>
      </c>
      <c r="S22" s="22"/>
      <c r="T22" s="81">
        <v>1815</v>
      </c>
      <c r="U22" s="81">
        <v>62.6</v>
      </c>
      <c r="W22" s="83">
        <v>1768</v>
      </c>
      <c r="X22" s="83">
        <v>63.91</v>
      </c>
      <c r="Z22" s="53">
        <v>1975</v>
      </c>
      <c r="AA22" s="53">
        <v>66.22</v>
      </c>
      <c r="AC22" s="53">
        <v>1746</v>
      </c>
      <c r="AD22" s="53">
        <v>62.79</v>
      </c>
      <c r="AF22" s="53">
        <v>1720</v>
      </c>
      <c r="AG22" s="53">
        <v>64.97</v>
      </c>
      <c r="AH22" s="13" t="s">
        <v>54</v>
      </c>
      <c r="AI22" s="15">
        <v>3084</v>
      </c>
      <c r="AJ22" s="15">
        <v>61.53</v>
      </c>
      <c r="AL22" s="53">
        <v>1619</v>
      </c>
      <c r="AM22" s="53">
        <v>63.18</v>
      </c>
      <c r="AR22" s="53">
        <v>2522</v>
      </c>
      <c r="AS22" s="53">
        <v>66.72</v>
      </c>
      <c r="AT22" s="13" t="s">
        <v>110</v>
      </c>
      <c r="AU22" s="83">
        <v>2364</v>
      </c>
      <c r="AV22" s="83">
        <v>59.2</v>
      </c>
      <c r="AX22" s="53">
        <v>2119</v>
      </c>
      <c r="AY22" s="53">
        <v>58.43</v>
      </c>
      <c r="BA22" s="84">
        <v>1683</v>
      </c>
      <c r="BB22" s="84">
        <v>57.67</v>
      </c>
      <c r="BD22" s="53">
        <v>2192</v>
      </c>
      <c r="BE22" s="53">
        <v>55.83</v>
      </c>
      <c r="BG22" s="84">
        <v>1969</v>
      </c>
      <c r="BH22" s="84">
        <v>56.71</v>
      </c>
      <c r="BM22" s="81">
        <v>2066</v>
      </c>
      <c r="BN22" s="81">
        <v>57.69</v>
      </c>
    </row>
    <row r="23" spans="2:66" x14ac:dyDescent="0.35">
      <c r="B23" s="38">
        <v>1910</v>
      </c>
      <c r="C23" s="38">
        <v>65.33</v>
      </c>
      <c r="E23" s="38">
        <v>1760</v>
      </c>
      <c r="F23" s="38">
        <v>67.06</v>
      </c>
      <c r="H23" s="53">
        <v>3022</v>
      </c>
      <c r="I23" s="53">
        <v>64.64</v>
      </c>
      <c r="K23" s="53">
        <v>2442</v>
      </c>
      <c r="L23" s="53">
        <v>65.17</v>
      </c>
      <c r="N23" s="39">
        <v>2185</v>
      </c>
      <c r="O23" s="39">
        <v>66.44</v>
      </c>
      <c r="Q23" s="53">
        <v>2075</v>
      </c>
      <c r="R23" s="53">
        <v>64.02</v>
      </c>
      <c r="S23" s="22"/>
      <c r="T23" s="81">
        <v>1889</v>
      </c>
      <c r="U23" s="81">
        <v>63</v>
      </c>
      <c r="W23" s="81">
        <v>1900</v>
      </c>
      <c r="X23" s="81">
        <v>64.64</v>
      </c>
      <c r="Z23" s="53">
        <v>2082</v>
      </c>
      <c r="AA23" s="53">
        <v>66.73</v>
      </c>
      <c r="AC23" s="53">
        <v>1794</v>
      </c>
      <c r="AD23" s="53">
        <v>63.46</v>
      </c>
      <c r="AF23" s="53">
        <v>1761</v>
      </c>
      <c r="AG23" s="53">
        <v>65.069999999999993</v>
      </c>
      <c r="AL23" s="53">
        <v>1753</v>
      </c>
      <c r="AM23" s="53">
        <v>60.66</v>
      </c>
      <c r="AR23" s="53">
        <v>2769</v>
      </c>
      <c r="AS23" s="53">
        <v>62.96</v>
      </c>
      <c r="AU23" s="83">
        <v>2402</v>
      </c>
      <c r="AV23" s="83">
        <v>59.5</v>
      </c>
      <c r="AX23" s="53">
        <v>2296</v>
      </c>
      <c r="AY23" s="53">
        <v>57.67</v>
      </c>
      <c r="AZ23" s="13" t="s">
        <v>64</v>
      </c>
      <c r="BA23" s="83">
        <v>1853</v>
      </c>
      <c r="BB23" s="83">
        <v>57.92</v>
      </c>
      <c r="BD23" s="53">
        <v>2267</v>
      </c>
      <c r="BE23" s="53">
        <v>55.8</v>
      </c>
      <c r="BG23" s="84">
        <v>2049</v>
      </c>
      <c r="BH23" s="84">
        <v>57.47</v>
      </c>
      <c r="BM23" s="81">
        <v>2212</v>
      </c>
      <c r="BN23" s="81">
        <v>59.52</v>
      </c>
    </row>
    <row r="24" spans="2:66" x14ac:dyDescent="0.35">
      <c r="B24" s="38">
        <v>1992</v>
      </c>
      <c r="C24" s="38">
        <v>65.19</v>
      </c>
      <c r="E24" s="38">
        <v>1841</v>
      </c>
      <c r="F24" s="38">
        <v>66.89</v>
      </c>
      <c r="H24" s="53">
        <v>3167</v>
      </c>
      <c r="I24" s="53">
        <v>66.040000000000006</v>
      </c>
      <c r="K24" s="53">
        <v>2576</v>
      </c>
      <c r="L24" s="53">
        <v>65.010000000000005</v>
      </c>
      <c r="N24" s="39">
        <v>2285</v>
      </c>
      <c r="O24" s="39">
        <v>66.28</v>
      </c>
      <c r="Q24" s="53">
        <v>2352</v>
      </c>
      <c r="R24" s="53">
        <v>64.06</v>
      </c>
      <c r="S24" s="22"/>
      <c r="T24" s="81">
        <v>1930</v>
      </c>
      <c r="U24" s="81">
        <v>63.18</v>
      </c>
      <c r="W24" s="81">
        <v>2041</v>
      </c>
      <c r="X24" s="81">
        <v>66.040000000000006</v>
      </c>
      <c r="Z24" s="53">
        <v>2167</v>
      </c>
      <c r="AA24" s="53">
        <v>66.36</v>
      </c>
      <c r="AC24" s="53">
        <v>1904</v>
      </c>
      <c r="AD24" s="53">
        <v>64.36</v>
      </c>
      <c r="AF24" s="53">
        <v>1858</v>
      </c>
      <c r="AG24" s="53">
        <v>64.58</v>
      </c>
      <c r="AL24" s="53">
        <v>1776</v>
      </c>
      <c r="AM24" s="53">
        <v>60.42</v>
      </c>
      <c r="AR24" s="53">
        <v>2994</v>
      </c>
      <c r="AS24" s="53">
        <v>62.774000000000001</v>
      </c>
      <c r="AU24" s="81">
        <v>2671</v>
      </c>
      <c r="AV24" s="81">
        <v>57.8</v>
      </c>
      <c r="AX24" s="53">
        <v>2441</v>
      </c>
      <c r="AY24" s="53">
        <v>60.8</v>
      </c>
      <c r="BA24" s="83">
        <v>1885</v>
      </c>
      <c r="BB24" s="83">
        <v>56.84</v>
      </c>
      <c r="BD24" s="38">
        <v>2343</v>
      </c>
      <c r="BE24" s="53">
        <v>55.66</v>
      </c>
      <c r="BG24" s="84">
        <v>2217</v>
      </c>
      <c r="BH24" s="84">
        <v>58</v>
      </c>
      <c r="BM24" s="81">
        <v>2319</v>
      </c>
      <c r="BN24" s="81">
        <v>58.75</v>
      </c>
    </row>
    <row r="25" spans="2:66" x14ac:dyDescent="0.35">
      <c r="B25" s="38">
        <v>2238</v>
      </c>
      <c r="C25" s="38">
        <v>64.63</v>
      </c>
      <c r="E25" s="38">
        <v>2289</v>
      </c>
      <c r="F25" s="38">
        <v>65.75</v>
      </c>
      <c r="H25" s="53">
        <v>3251</v>
      </c>
      <c r="I25" s="53">
        <v>65.040000000000006</v>
      </c>
      <c r="K25" s="53">
        <v>2720</v>
      </c>
      <c r="L25" s="53">
        <v>65.67</v>
      </c>
      <c r="N25" s="39">
        <v>2449</v>
      </c>
      <c r="O25" s="39">
        <v>65.989999999999995</v>
      </c>
      <c r="Q25" s="53">
        <v>2679</v>
      </c>
      <c r="R25" s="53">
        <v>63.41</v>
      </c>
      <c r="S25" s="22"/>
      <c r="T25" s="81">
        <v>1973</v>
      </c>
      <c r="U25" s="81">
        <v>63.17</v>
      </c>
      <c r="W25" s="81">
        <v>2128</v>
      </c>
      <c r="X25" s="81">
        <v>65.040000000000006</v>
      </c>
      <c r="Z25" s="53">
        <v>2255</v>
      </c>
      <c r="AA25" s="53">
        <v>66.459999999999994</v>
      </c>
      <c r="AC25" s="53">
        <v>1930</v>
      </c>
      <c r="AD25" s="53">
        <v>64.23</v>
      </c>
      <c r="AF25" s="53">
        <v>1898</v>
      </c>
      <c r="AG25" s="53">
        <v>64.19</v>
      </c>
      <c r="AL25" s="53">
        <v>1828</v>
      </c>
      <c r="AM25" s="53">
        <v>59.74</v>
      </c>
      <c r="AQ25" s="19" t="s">
        <v>54</v>
      </c>
      <c r="AR25" s="39">
        <v>3144</v>
      </c>
      <c r="AS25" s="39">
        <v>61.53</v>
      </c>
      <c r="AU25" s="81">
        <v>2862</v>
      </c>
      <c r="AV25" s="81">
        <v>58.54</v>
      </c>
      <c r="AX25" s="53">
        <v>2556</v>
      </c>
      <c r="AY25" s="53">
        <v>60.38</v>
      </c>
      <c r="BA25" s="84">
        <v>2033</v>
      </c>
      <c r="BB25" s="84">
        <v>57.56</v>
      </c>
      <c r="BD25" s="38">
        <v>2434</v>
      </c>
      <c r="BE25" s="53">
        <v>55.68</v>
      </c>
      <c r="BG25" s="84">
        <v>2351</v>
      </c>
      <c r="BH25" s="84">
        <v>58.42</v>
      </c>
      <c r="BM25" s="81">
        <v>2400</v>
      </c>
      <c r="BN25" s="81">
        <v>59.04</v>
      </c>
    </row>
    <row r="26" spans="2:66" x14ac:dyDescent="0.35">
      <c r="B26" s="38">
        <v>2431</v>
      </c>
      <c r="C26" s="38">
        <v>64.58</v>
      </c>
      <c r="E26" s="38">
        <v>2484</v>
      </c>
      <c r="F26" s="38">
        <v>66</v>
      </c>
      <c r="H26" s="53">
        <v>3462</v>
      </c>
      <c r="I26" s="53">
        <v>63.34</v>
      </c>
      <c r="K26" s="53">
        <v>2820</v>
      </c>
      <c r="L26" s="53">
        <v>66.48</v>
      </c>
      <c r="N26" s="39">
        <v>2533</v>
      </c>
      <c r="O26" s="39">
        <v>65.89</v>
      </c>
      <c r="Q26" s="53">
        <v>2808</v>
      </c>
      <c r="R26" s="53">
        <v>62.66</v>
      </c>
      <c r="S26" s="22"/>
      <c r="T26" s="81">
        <v>2009</v>
      </c>
      <c r="U26" s="81">
        <v>63.87</v>
      </c>
      <c r="W26" s="84">
        <v>2213</v>
      </c>
      <c r="X26" s="84">
        <v>64</v>
      </c>
      <c r="Z26" s="53">
        <v>2438</v>
      </c>
      <c r="AA26" s="53">
        <v>66.900000000000006</v>
      </c>
      <c r="AC26" s="53">
        <v>2028</v>
      </c>
      <c r="AD26" s="53">
        <v>62.65</v>
      </c>
      <c r="AF26" s="53">
        <v>1979</v>
      </c>
      <c r="AG26" s="53">
        <v>64.739999999999995</v>
      </c>
      <c r="AL26" s="53">
        <v>1914</v>
      </c>
      <c r="AM26" s="53">
        <v>59.71</v>
      </c>
      <c r="AU26" s="81">
        <v>3013</v>
      </c>
      <c r="AV26" s="81">
        <v>57.03</v>
      </c>
      <c r="AX26" s="53">
        <v>2695</v>
      </c>
      <c r="AY26" s="53">
        <v>60.09</v>
      </c>
      <c r="BA26" s="84">
        <v>2170</v>
      </c>
      <c r="BB26" s="84">
        <v>58.4</v>
      </c>
      <c r="BD26" s="38">
        <v>2510</v>
      </c>
      <c r="BE26" s="53">
        <v>56.36</v>
      </c>
      <c r="BG26" s="84">
        <v>1392</v>
      </c>
      <c r="BH26" s="84">
        <v>58.16</v>
      </c>
      <c r="BM26" s="81">
        <v>2565</v>
      </c>
      <c r="BN26" s="81">
        <v>62.389000000000003</v>
      </c>
    </row>
    <row r="27" spans="2:66" x14ac:dyDescent="0.35">
      <c r="B27" s="38">
        <v>2469</v>
      </c>
      <c r="C27" s="38">
        <v>65.09</v>
      </c>
      <c r="E27" s="38">
        <v>2643</v>
      </c>
      <c r="F27" s="38">
        <v>66.010000000000005</v>
      </c>
      <c r="H27" s="53">
        <v>3560</v>
      </c>
      <c r="I27" s="53">
        <v>63.68</v>
      </c>
      <c r="K27" s="53">
        <v>2966</v>
      </c>
      <c r="L27" s="53">
        <v>65.89</v>
      </c>
      <c r="N27" s="38">
        <v>2557</v>
      </c>
      <c r="O27" s="38">
        <v>66.209999999999994</v>
      </c>
      <c r="P27" s="13" t="s">
        <v>110</v>
      </c>
      <c r="Q27" s="40">
        <v>2850</v>
      </c>
      <c r="R27" s="40">
        <v>62.36</v>
      </c>
      <c r="S27" s="22"/>
      <c r="T27" s="81">
        <v>2047</v>
      </c>
      <c r="U27" s="81">
        <v>63.9</v>
      </c>
      <c r="W27" s="84">
        <v>2440</v>
      </c>
      <c r="X27" s="84">
        <v>63.68</v>
      </c>
      <c r="Z27" s="53">
        <v>2510</v>
      </c>
      <c r="AA27" s="53">
        <v>66.48</v>
      </c>
      <c r="AC27" s="53">
        <v>2129</v>
      </c>
      <c r="AD27" s="53">
        <v>62.8</v>
      </c>
      <c r="AF27" s="53">
        <v>2064</v>
      </c>
      <c r="AG27" s="53">
        <v>65.959999999999994</v>
      </c>
      <c r="AL27" s="53">
        <v>1993</v>
      </c>
      <c r="AM27" s="53">
        <v>59.3</v>
      </c>
      <c r="AU27" s="81">
        <v>3108</v>
      </c>
      <c r="AV27" s="81">
        <v>57.43</v>
      </c>
      <c r="AW27" s="19" t="s">
        <v>110</v>
      </c>
      <c r="AX27" s="39">
        <v>2740</v>
      </c>
      <c r="AY27" s="39">
        <v>59.5</v>
      </c>
      <c r="BA27" s="84">
        <v>2431</v>
      </c>
      <c r="BB27" s="84">
        <v>57.89</v>
      </c>
      <c r="BD27" s="38">
        <v>2583</v>
      </c>
      <c r="BE27" s="53">
        <v>56.94</v>
      </c>
      <c r="BG27" s="84">
        <v>1450</v>
      </c>
      <c r="BH27" s="84">
        <v>57.34</v>
      </c>
      <c r="BM27" s="81">
        <v>2640</v>
      </c>
      <c r="BN27" s="81">
        <v>62.54</v>
      </c>
    </row>
    <row r="28" spans="2:66" x14ac:dyDescent="0.35">
      <c r="B28" s="38">
        <v>2509</v>
      </c>
      <c r="C28" s="38">
        <v>64.63</v>
      </c>
      <c r="E28" s="38">
        <v>2834</v>
      </c>
      <c r="F28" s="38">
        <v>66.28</v>
      </c>
      <c r="H28" s="53">
        <v>3730</v>
      </c>
      <c r="I28" s="53">
        <v>64.400000000000006</v>
      </c>
      <c r="K28" s="53">
        <v>3128</v>
      </c>
      <c r="L28" s="53">
        <v>65.92</v>
      </c>
      <c r="M28" s="19" t="s">
        <v>110</v>
      </c>
      <c r="N28" s="39">
        <v>2586</v>
      </c>
      <c r="O28" s="39">
        <v>66.319999999999993</v>
      </c>
      <c r="Q28" s="40">
        <v>2946</v>
      </c>
      <c r="R28" s="40">
        <v>62.24</v>
      </c>
      <c r="S28" s="22"/>
      <c r="T28" s="81">
        <v>2073</v>
      </c>
      <c r="U28" s="81">
        <v>63.72</v>
      </c>
      <c r="W28" s="84">
        <v>2529</v>
      </c>
      <c r="X28" s="84">
        <v>63.37</v>
      </c>
      <c r="Z28" s="53">
        <v>2667</v>
      </c>
      <c r="AA28" s="53">
        <v>65.489999999999995</v>
      </c>
      <c r="AC28" s="53">
        <v>2213</v>
      </c>
      <c r="AD28" s="53">
        <v>62.28</v>
      </c>
      <c r="AF28" s="53">
        <v>2258</v>
      </c>
      <c r="AG28" s="53">
        <v>64.66</v>
      </c>
      <c r="AL28" s="53">
        <v>2067</v>
      </c>
      <c r="AM28" s="53">
        <v>59.34</v>
      </c>
      <c r="AU28" s="81">
        <v>3226</v>
      </c>
      <c r="AV28" s="81">
        <v>56.34</v>
      </c>
      <c r="AX28" s="39">
        <v>2812</v>
      </c>
      <c r="AY28" s="39">
        <v>59.2</v>
      </c>
      <c r="BA28" s="84">
        <v>2587</v>
      </c>
      <c r="BB28" s="84">
        <v>58.3</v>
      </c>
      <c r="BD28" s="38">
        <v>2731</v>
      </c>
      <c r="BE28" s="53">
        <v>56.86</v>
      </c>
      <c r="BG28" s="84">
        <v>2548</v>
      </c>
      <c r="BH28" s="84">
        <v>56.34</v>
      </c>
      <c r="BM28" s="81">
        <v>2755</v>
      </c>
      <c r="BN28" s="81">
        <v>63.25</v>
      </c>
    </row>
    <row r="29" spans="2:66" x14ac:dyDescent="0.35">
      <c r="B29" s="38">
        <v>2602</v>
      </c>
      <c r="C29" s="38">
        <v>65.180000000000007</v>
      </c>
      <c r="E29" s="38">
        <v>3005</v>
      </c>
      <c r="F29" s="38">
        <v>65.989999999999995</v>
      </c>
      <c r="H29" s="53">
        <v>3808</v>
      </c>
      <c r="I29" s="53">
        <v>64.7</v>
      </c>
      <c r="K29" s="53">
        <v>3301</v>
      </c>
      <c r="L29" s="53">
        <v>64.75</v>
      </c>
      <c r="N29" s="39">
        <v>2617</v>
      </c>
      <c r="O29" s="39">
        <v>66.180000000000007</v>
      </c>
      <c r="Q29" s="40">
        <v>3086</v>
      </c>
      <c r="R29" s="40">
        <v>62.29</v>
      </c>
      <c r="S29" s="22"/>
      <c r="T29" s="81">
        <v>2095</v>
      </c>
      <c r="U29" s="81">
        <v>62.89</v>
      </c>
      <c r="W29" s="84">
        <v>2608</v>
      </c>
      <c r="X29" s="84">
        <v>64.239999999999995</v>
      </c>
      <c r="Z29" s="53">
        <v>2822</v>
      </c>
      <c r="AA29" s="53">
        <v>64.28</v>
      </c>
      <c r="AC29" s="53">
        <v>2376</v>
      </c>
      <c r="AD29" s="53">
        <v>60.71</v>
      </c>
      <c r="AF29" s="53">
        <v>2319</v>
      </c>
      <c r="AG29" s="53">
        <v>63.98</v>
      </c>
      <c r="AL29" s="53">
        <v>2139</v>
      </c>
      <c r="AM29" s="53">
        <v>59.61</v>
      </c>
      <c r="AU29" s="81">
        <v>3296</v>
      </c>
      <c r="AV29" s="81">
        <v>55.86</v>
      </c>
      <c r="AW29" s="19" t="s">
        <v>110</v>
      </c>
      <c r="AX29" s="39">
        <v>2840</v>
      </c>
      <c r="AY29" s="39">
        <v>59.2</v>
      </c>
      <c r="BA29" s="84">
        <v>2755</v>
      </c>
      <c r="BB29" s="84">
        <v>57.25</v>
      </c>
      <c r="BD29" s="38">
        <v>2789</v>
      </c>
      <c r="BE29" s="53">
        <v>57.78</v>
      </c>
      <c r="BG29" s="84">
        <v>2626</v>
      </c>
      <c r="BH29" s="84">
        <v>55.74</v>
      </c>
      <c r="BM29" s="81">
        <v>2897</v>
      </c>
      <c r="BN29" s="81">
        <v>62.71</v>
      </c>
    </row>
    <row r="30" spans="2:66" x14ac:dyDescent="0.35">
      <c r="B30" s="38">
        <v>2696</v>
      </c>
      <c r="C30" s="38">
        <v>65.7</v>
      </c>
      <c r="D30" s="13" t="s">
        <v>110</v>
      </c>
      <c r="E30" s="40">
        <v>3044</v>
      </c>
      <c r="F30" s="40">
        <v>66.12</v>
      </c>
      <c r="H30" s="53">
        <v>3967</v>
      </c>
      <c r="I30" s="53">
        <v>64.7</v>
      </c>
      <c r="K30" s="53">
        <v>3510</v>
      </c>
      <c r="L30" s="53">
        <v>65.17</v>
      </c>
      <c r="M30" s="19" t="s">
        <v>110</v>
      </c>
      <c r="N30" s="39">
        <v>2657</v>
      </c>
      <c r="O30" s="39">
        <v>66.069999999999993</v>
      </c>
      <c r="Q30" s="40">
        <v>3309</v>
      </c>
      <c r="R30" s="40">
        <v>62.38</v>
      </c>
      <c r="S30" s="22"/>
      <c r="T30" s="81">
        <v>2149</v>
      </c>
      <c r="U30" s="81">
        <v>60.6</v>
      </c>
      <c r="W30" s="84">
        <v>2761</v>
      </c>
      <c r="X30" s="84">
        <v>65.11</v>
      </c>
      <c r="Z30" s="53">
        <v>2908</v>
      </c>
      <c r="AA30" s="53">
        <v>62.58</v>
      </c>
      <c r="AC30" s="53">
        <v>2457</v>
      </c>
      <c r="AD30" s="53">
        <v>61.63</v>
      </c>
      <c r="AF30" s="53">
        <v>2365</v>
      </c>
      <c r="AG30" s="53">
        <v>63.72</v>
      </c>
      <c r="AL30" s="53">
        <v>2209</v>
      </c>
      <c r="AM30" s="53">
        <v>59.34</v>
      </c>
      <c r="AT30" s="13" t="s">
        <v>110</v>
      </c>
      <c r="AU30" s="83">
        <v>3346</v>
      </c>
      <c r="AV30" s="83">
        <v>51.41</v>
      </c>
      <c r="AW30" s="85"/>
      <c r="AX30" s="39">
        <v>2880</v>
      </c>
      <c r="AY30" s="39">
        <v>59.5</v>
      </c>
      <c r="BA30" s="84">
        <v>2911</v>
      </c>
      <c r="BB30" s="84">
        <v>59.03</v>
      </c>
      <c r="BD30" s="38">
        <v>2936</v>
      </c>
      <c r="BE30" s="53">
        <v>57.32</v>
      </c>
      <c r="BG30" s="84">
        <v>2774</v>
      </c>
      <c r="BH30" s="84">
        <v>55.25</v>
      </c>
      <c r="BM30" s="81">
        <v>2984</v>
      </c>
      <c r="BN30" s="81">
        <v>62.43</v>
      </c>
    </row>
    <row r="31" spans="2:66" x14ac:dyDescent="0.35">
      <c r="B31" s="38">
        <v>2790</v>
      </c>
      <c r="C31" s="38">
        <v>66.73</v>
      </c>
      <c r="E31" s="40">
        <v>3082</v>
      </c>
      <c r="F31" s="40">
        <v>65.89</v>
      </c>
      <c r="H31" s="53">
        <v>4078</v>
      </c>
      <c r="I31" s="53">
        <v>62.6</v>
      </c>
      <c r="K31" s="53">
        <v>3694</v>
      </c>
      <c r="L31" s="53">
        <v>64.55</v>
      </c>
      <c r="N31" s="39">
        <v>2795</v>
      </c>
      <c r="O31" s="39">
        <v>66.2</v>
      </c>
      <c r="Q31" s="40">
        <v>3443</v>
      </c>
      <c r="R31" s="40">
        <v>61.94</v>
      </c>
      <c r="S31" s="22"/>
      <c r="T31" s="81">
        <v>2388</v>
      </c>
      <c r="U31" s="81">
        <v>60.4</v>
      </c>
      <c r="W31" s="84">
        <v>2918</v>
      </c>
      <c r="X31" s="84">
        <v>63.53</v>
      </c>
      <c r="Z31" s="53">
        <v>2988</v>
      </c>
      <c r="AA31" s="53">
        <v>63.11</v>
      </c>
      <c r="AC31" s="53">
        <v>2609</v>
      </c>
      <c r="AD31" s="53">
        <v>62.89</v>
      </c>
      <c r="AF31" s="53">
        <v>2497</v>
      </c>
      <c r="AG31" s="53">
        <v>63.41</v>
      </c>
      <c r="AL31" s="53">
        <v>2421</v>
      </c>
      <c r="AM31" s="53">
        <v>59</v>
      </c>
      <c r="AU31" s="81">
        <v>3442</v>
      </c>
      <c r="AV31" s="81">
        <v>55.12</v>
      </c>
      <c r="AX31" s="53">
        <v>2697</v>
      </c>
      <c r="AY31" s="53">
        <v>59.23</v>
      </c>
      <c r="BA31" s="84">
        <v>3021</v>
      </c>
      <c r="BB31" s="84">
        <v>58.43</v>
      </c>
      <c r="BD31" s="38">
        <v>3052</v>
      </c>
      <c r="BE31" s="53">
        <v>58.4</v>
      </c>
      <c r="BG31" s="84">
        <v>2867</v>
      </c>
      <c r="BH31" s="84">
        <v>54.79</v>
      </c>
      <c r="BM31" s="81">
        <v>3078</v>
      </c>
      <c r="BN31" s="81">
        <v>63.24</v>
      </c>
    </row>
    <row r="32" spans="2:66" x14ac:dyDescent="0.35">
      <c r="B32" s="38">
        <v>2873</v>
      </c>
      <c r="C32" s="38">
        <v>66.34</v>
      </c>
      <c r="D32" s="13" t="s">
        <v>110</v>
      </c>
      <c r="E32" s="40">
        <v>3162</v>
      </c>
      <c r="F32" s="40">
        <v>66.319999999999993</v>
      </c>
      <c r="H32" s="53">
        <v>4155</v>
      </c>
      <c r="I32" s="53">
        <v>63</v>
      </c>
      <c r="K32" s="53">
        <v>3895</v>
      </c>
      <c r="L32" s="53">
        <v>64.19</v>
      </c>
      <c r="N32" s="39">
        <v>2907</v>
      </c>
      <c r="O32" s="39">
        <v>66.260000000000005</v>
      </c>
      <c r="Q32" s="38">
        <v>3731</v>
      </c>
      <c r="R32" s="38">
        <v>62.21</v>
      </c>
      <c r="S32" s="12" t="s">
        <v>54</v>
      </c>
      <c r="T32" s="82">
        <v>2463</v>
      </c>
      <c r="U32" s="82">
        <v>61.53</v>
      </c>
      <c r="W32" s="84">
        <v>2988</v>
      </c>
      <c r="X32" s="84">
        <v>63.61</v>
      </c>
      <c r="Z32" s="53">
        <v>3028</v>
      </c>
      <c r="AA32" s="53">
        <v>61.79</v>
      </c>
      <c r="AC32" s="53">
        <v>2737</v>
      </c>
      <c r="AD32" s="53">
        <v>63.09</v>
      </c>
      <c r="AE32" s="19" t="s">
        <v>110</v>
      </c>
      <c r="AF32" s="39">
        <v>2574</v>
      </c>
      <c r="AG32" s="39">
        <v>62.84</v>
      </c>
      <c r="AL32" s="53">
        <v>2529</v>
      </c>
      <c r="AM32" s="53">
        <v>50.39</v>
      </c>
      <c r="AU32" s="81">
        <v>3641</v>
      </c>
      <c r="AV32" s="81">
        <v>59.3</v>
      </c>
      <c r="AX32" s="38">
        <v>3151</v>
      </c>
      <c r="AY32" s="38">
        <v>57.8</v>
      </c>
      <c r="BA32" s="84">
        <v>3195</v>
      </c>
      <c r="BB32" s="84">
        <v>57.67</v>
      </c>
      <c r="BD32" s="38">
        <v>3182</v>
      </c>
      <c r="BE32" s="53">
        <v>59.04</v>
      </c>
      <c r="BG32" s="84">
        <v>2994</v>
      </c>
      <c r="BH32" s="84">
        <v>54.27</v>
      </c>
      <c r="BM32" s="81">
        <v>3175</v>
      </c>
      <c r="BN32" s="81">
        <v>63.4</v>
      </c>
    </row>
    <row r="33" spans="1:66" x14ac:dyDescent="0.35">
      <c r="B33" s="38">
        <v>2957</v>
      </c>
      <c r="C33" s="38">
        <v>66.34</v>
      </c>
      <c r="E33" s="40">
        <v>3546</v>
      </c>
      <c r="F33" s="40">
        <v>66.36</v>
      </c>
      <c r="H33" s="53">
        <v>4237</v>
      </c>
      <c r="I33" s="53">
        <v>63.17</v>
      </c>
      <c r="J33" s="13" t="s">
        <v>110</v>
      </c>
      <c r="K33" s="40">
        <v>4009</v>
      </c>
      <c r="L33" s="40">
        <v>64.02</v>
      </c>
      <c r="N33" s="38">
        <v>2956</v>
      </c>
      <c r="O33" s="38">
        <v>68.33</v>
      </c>
      <c r="Q33" s="38">
        <v>3799</v>
      </c>
      <c r="R33" s="38">
        <v>63.23</v>
      </c>
      <c r="S33" s="22"/>
      <c r="W33" s="84">
        <v>3072</v>
      </c>
      <c r="X33" s="84">
        <v>64.760000000000005</v>
      </c>
      <c r="Y33" s="19" t="s">
        <v>54</v>
      </c>
      <c r="Z33" s="39">
        <v>3311</v>
      </c>
      <c r="AA33" s="39">
        <v>61.53</v>
      </c>
      <c r="AC33" s="53">
        <v>2849</v>
      </c>
      <c r="AD33" s="53">
        <v>62.66</v>
      </c>
      <c r="AF33" s="39">
        <v>2890</v>
      </c>
      <c r="AG33" s="39">
        <v>62.27</v>
      </c>
      <c r="AL33" s="53">
        <v>2608</v>
      </c>
      <c r="AM33" s="53">
        <v>61.41</v>
      </c>
      <c r="AU33" s="81">
        <v>3783</v>
      </c>
      <c r="AV33" s="81">
        <v>61.37</v>
      </c>
      <c r="AX33" s="38">
        <v>3280</v>
      </c>
      <c r="AY33" s="38">
        <v>58.33</v>
      </c>
      <c r="BA33" s="84">
        <v>3345</v>
      </c>
      <c r="BB33" s="84">
        <v>60.8</v>
      </c>
      <c r="BD33" s="38">
        <v>3288</v>
      </c>
      <c r="BE33" s="53">
        <v>61.05</v>
      </c>
      <c r="BG33" s="84">
        <v>3244</v>
      </c>
      <c r="BH33" s="84">
        <v>52.94</v>
      </c>
      <c r="BM33" s="81">
        <v>3295</v>
      </c>
      <c r="BN33" s="81">
        <v>62.54</v>
      </c>
    </row>
    <row r="34" spans="1:66" x14ac:dyDescent="0.35">
      <c r="B34" s="38">
        <v>3032</v>
      </c>
      <c r="C34" s="38">
        <v>66.5</v>
      </c>
      <c r="E34" s="38">
        <v>3949</v>
      </c>
      <c r="F34" s="38">
        <v>68</v>
      </c>
      <c r="H34" s="53">
        <v>4316</v>
      </c>
      <c r="I34" s="53">
        <v>63.9</v>
      </c>
      <c r="K34" s="40">
        <v>4042</v>
      </c>
      <c r="L34" s="40">
        <v>54.02</v>
      </c>
      <c r="N34" s="38">
        <v>3014</v>
      </c>
      <c r="O34" s="38">
        <v>67.02</v>
      </c>
      <c r="Q34" s="38">
        <v>3955</v>
      </c>
      <c r="R34" s="38">
        <v>62.79</v>
      </c>
      <c r="S34" s="22"/>
      <c r="W34" s="84">
        <v>3145</v>
      </c>
      <c r="X34" s="84">
        <v>63.48</v>
      </c>
      <c r="AC34" s="53">
        <v>2932</v>
      </c>
      <c r="AD34" s="53">
        <v>62.97</v>
      </c>
      <c r="AF34" s="39">
        <v>3017</v>
      </c>
      <c r="AG34" s="39">
        <v>62.4</v>
      </c>
      <c r="AL34" s="53">
        <v>2705</v>
      </c>
      <c r="AM34" s="53">
        <v>61.09</v>
      </c>
      <c r="AU34" s="81">
        <v>4005</v>
      </c>
      <c r="AV34" s="81">
        <v>64.900000000000006</v>
      </c>
      <c r="AX34" s="38">
        <v>3382</v>
      </c>
      <c r="AY34" s="38">
        <v>56.06</v>
      </c>
      <c r="BA34" s="84">
        <v>3458</v>
      </c>
      <c r="BB34" s="84">
        <v>60.38</v>
      </c>
      <c r="BD34" s="38">
        <v>3443</v>
      </c>
      <c r="BE34" s="53">
        <v>62.54</v>
      </c>
      <c r="BG34" s="84">
        <v>3416</v>
      </c>
      <c r="BH34" s="84">
        <v>48.18</v>
      </c>
      <c r="BL34" s="13" t="s">
        <v>54</v>
      </c>
      <c r="BM34" s="83">
        <v>3421</v>
      </c>
      <c r="BN34" s="83">
        <v>61.96</v>
      </c>
    </row>
    <row r="35" spans="1:66" x14ac:dyDescent="0.35">
      <c r="B35" s="38">
        <v>3159</v>
      </c>
      <c r="C35" s="38">
        <v>66.56</v>
      </c>
      <c r="E35" s="38">
        <v>4069</v>
      </c>
      <c r="F35" s="38">
        <v>65.08</v>
      </c>
      <c r="H35" s="53">
        <v>4425</v>
      </c>
      <c r="I35" s="53">
        <v>60.6</v>
      </c>
      <c r="J35" s="13" t="s">
        <v>110</v>
      </c>
      <c r="K35" s="40">
        <v>4114</v>
      </c>
      <c r="L35" s="40">
        <v>64.069999999999993</v>
      </c>
      <c r="N35" s="38">
        <v>3058</v>
      </c>
      <c r="O35" s="38">
        <v>67.489999999999995</v>
      </c>
      <c r="Q35" s="53">
        <v>4115</v>
      </c>
      <c r="R35" s="53">
        <v>64.36</v>
      </c>
      <c r="S35" s="22"/>
      <c r="W35" s="84">
        <v>3273</v>
      </c>
      <c r="X35" s="84">
        <v>61.83</v>
      </c>
      <c r="AC35" s="53">
        <v>3018</v>
      </c>
      <c r="AD35" s="53">
        <v>62.87</v>
      </c>
      <c r="AF35" s="39">
        <v>3131</v>
      </c>
      <c r="AG35" s="39">
        <v>62.58</v>
      </c>
      <c r="AL35" s="53">
        <v>2978</v>
      </c>
      <c r="AM35" s="53">
        <v>61.54</v>
      </c>
      <c r="AU35" s="81">
        <v>4168</v>
      </c>
      <c r="AV35" s="81">
        <v>66.430000000000007</v>
      </c>
      <c r="AX35" s="38">
        <v>3494</v>
      </c>
      <c r="AY35" s="38">
        <v>57.03</v>
      </c>
      <c r="AZ35" s="13" t="s">
        <v>110</v>
      </c>
      <c r="BA35" s="83">
        <v>3643</v>
      </c>
      <c r="BB35" s="83">
        <v>59.5</v>
      </c>
      <c r="BD35" s="38">
        <v>3559</v>
      </c>
      <c r="BE35" s="53">
        <v>63.25</v>
      </c>
      <c r="BG35" s="84">
        <v>3565</v>
      </c>
      <c r="BH35" s="84">
        <v>52.54</v>
      </c>
    </row>
    <row r="36" spans="1:66" x14ac:dyDescent="0.35">
      <c r="B36" s="38">
        <v>3248</v>
      </c>
      <c r="C36" s="38">
        <v>66.97</v>
      </c>
      <c r="E36" s="38">
        <v>4234</v>
      </c>
      <c r="F36" s="38">
        <v>65.290000000000006</v>
      </c>
      <c r="G36" s="19" t="s">
        <v>54</v>
      </c>
      <c r="H36" s="39">
        <v>4729</v>
      </c>
      <c r="I36" s="39">
        <v>61.53</v>
      </c>
      <c r="K36" s="40">
        <v>4150</v>
      </c>
      <c r="L36" s="40">
        <v>63.94</v>
      </c>
      <c r="N36" s="38">
        <v>3114</v>
      </c>
      <c r="O36" s="38">
        <v>66.81</v>
      </c>
      <c r="Q36" s="53">
        <v>4214</v>
      </c>
      <c r="R36" s="53">
        <v>62.83</v>
      </c>
      <c r="S36" s="22"/>
      <c r="V36" s="13" t="s">
        <v>54</v>
      </c>
      <c r="W36" s="83">
        <v>3601</v>
      </c>
      <c r="X36" s="83">
        <v>61.53</v>
      </c>
      <c r="AB36" s="85"/>
      <c r="AC36" s="38">
        <v>3101</v>
      </c>
      <c r="AD36" s="38">
        <v>63.12</v>
      </c>
      <c r="AF36" s="39">
        <v>3291</v>
      </c>
      <c r="AG36" s="39">
        <v>61.94</v>
      </c>
      <c r="AL36" s="53">
        <v>3076</v>
      </c>
      <c r="AM36" s="53">
        <v>62.51</v>
      </c>
      <c r="AU36" s="81">
        <v>4283</v>
      </c>
      <c r="AV36" s="81">
        <v>66.989999999999995</v>
      </c>
      <c r="AX36" s="38">
        <v>3581</v>
      </c>
      <c r="AY36" s="38">
        <v>56.82</v>
      </c>
      <c r="BA36" s="83">
        <v>3712</v>
      </c>
      <c r="BB36" s="83">
        <v>59.91</v>
      </c>
      <c r="BD36" s="38">
        <v>3696</v>
      </c>
      <c r="BE36" s="53">
        <v>62.71</v>
      </c>
      <c r="BG36" s="84">
        <v>3673</v>
      </c>
      <c r="BH36" s="84">
        <v>52.1</v>
      </c>
    </row>
    <row r="37" spans="1:66" x14ac:dyDescent="0.35">
      <c r="B37" s="38">
        <v>3322</v>
      </c>
      <c r="C37" s="38">
        <v>67.36</v>
      </c>
      <c r="E37" s="38">
        <v>4351</v>
      </c>
      <c r="F37" s="38">
        <v>64.97</v>
      </c>
      <c r="K37" s="38">
        <v>4265</v>
      </c>
      <c r="L37" s="38">
        <v>64.34</v>
      </c>
      <c r="N37" s="38">
        <v>3190</v>
      </c>
      <c r="O37" s="38">
        <v>65.56</v>
      </c>
      <c r="Q37" s="53">
        <v>4348</v>
      </c>
      <c r="R37" s="53">
        <v>62.8</v>
      </c>
      <c r="S37" s="22"/>
      <c r="AC37" s="53">
        <v>3207</v>
      </c>
      <c r="AD37" s="53">
        <v>62.66</v>
      </c>
      <c r="AF37" s="38">
        <v>3409</v>
      </c>
      <c r="AG37" s="38">
        <v>62.65</v>
      </c>
      <c r="AL37" s="53">
        <v>3157</v>
      </c>
      <c r="AM37" s="53">
        <v>61.83</v>
      </c>
      <c r="AU37" s="81">
        <v>4488</v>
      </c>
      <c r="AV37" s="81">
        <v>67.25</v>
      </c>
      <c r="AX37" s="38">
        <v>3709</v>
      </c>
      <c r="AY37" s="38">
        <v>56.34</v>
      </c>
      <c r="BA37" s="84">
        <v>3740</v>
      </c>
      <c r="BB37" s="84">
        <v>59.2</v>
      </c>
      <c r="BD37" s="38">
        <v>3876</v>
      </c>
      <c r="BE37" s="53">
        <v>62.53</v>
      </c>
      <c r="BG37" s="84">
        <v>3755</v>
      </c>
      <c r="BH37" s="84">
        <v>53.63</v>
      </c>
    </row>
    <row r="38" spans="1:66" x14ac:dyDescent="0.35">
      <c r="B38" s="38">
        <v>3671</v>
      </c>
      <c r="C38" s="38">
        <v>65.75</v>
      </c>
      <c r="E38" s="38">
        <v>4546</v>
      </c>
      <c r="F38" s="38">
        <v>65.67</v>
      </c>
      <c r="K38" s="38">
        <v>4413</v>
      </c>
      <c r="L38" s="38">
        <v>65.41</v>
      </c>
      <c r="N38" s="38">
        <v>3273</v>
      </c>
      <c r="O38" s="38">
        <v>66.319999999999993</v>
      </c>
      <c r="Q38" s="53">
        <v>4430</v>
      </c>
      <c r="R38" s="53">
        <v>62.28</v>
      </c>
      <c r="S38" s="22"/>
      <c r="AC38" s="53">
        <v>3300</v>
      </c>
      <c r="AD38" s="53">
        <v>63.05</v>
      </c>
      <c r="AF38" s="38">
        <v>3584</v>
      </c>
      <c r="AG38" s="38">
        <v>62.21</v>
      </c>
      <c r="AL38" s="53">
        <v>3346</v>
      </c>
      <c r="AM38" s="53">
        <v>56.35</v>
      </c>
      <c r="AU38" s="81">
        <v>4741</v>
      </c>
      <c r="AV38" s="81">
        <v>65.72</v>
      </c>
      <c r="AW38" s="19" t="s">
        <v>110</v>
      </c>
      <c r="AX38" s="39">
        <v>3831</v>
      </c>
      <c r="AY38" s="39">
        <v>51.41</v>
      </c>
      <c r="BA38" s="84">
        <v>3783</v>
      </c>
      <c r="BB38" s="84">
        <v>59.5</v>
      </c>
      <c r="BD38" s="38">
        <v>4005</v>
      </c>
      <c r="BE38" s="53">
        <v>62.48</v>
      </c>
      <c r="BG38" s="84">
        <v>3861</v>
      </c>
      <c r="BH38" s="84">
        <v>54.3</v>
      </c>
    </row>
    <row r="39" spans="1:66" x14ac:dyDescent="0.35">
      <c r="B39" s="38">
        <v>3743</v>
      </c>
      <c r="C39" s="38">
        <v>66.23</v>
      </c>
      <c r="E39" s="38">
        <v>4614</v>
      </c>
      <c r="F39" s="38">
        <v>65.02</v>
      </c>
      <c r="K39" s="38">
        <v>4562</v>
      </c>
      <c r="L39" s="38">
        <v>64.849999999999994</v>
      </c>
      <c r="N39" s="38">
        <v>3360</v>
      </c>
      <c r="O39" s="38">
        <v>67.23</v>
      </c>
      <c r="Q39" s="53">
        <v>4550</v>
      </c>
      <c r="R39" s="53">
        <v>60.9</v>
      </c>
      <c r="S39" s="22"/>
      <c r="AC39" s="53">
        <v>3479</v>
      </c>
      <c r="AD39" s="53">
        <v>63.82</v>
      </c>
      <c r="AF39" s="38">
        <v>3691</v>
      </c>
      <c r="AG39" s="38">
        <v>63.28</v>
      </c>
      <c r="AL39" s="53">
        <v>3504</v>
      </c>
      <c r="AM39" s="53">
        <v>58.49</v>
      </c>
      <c r="AU39" s="81">
        <v>4905</v>
      </c>
      <c r="AV39" s="81">
        <v>64</v>
      </c>
      <c r="AX39" s="38">
        <v>3922</v>
      </c>
      <c r="AY39" s="38">
        <v>55.12</v>
      </c>
      <c r="BA39" s="84">
        <v>4009</v>
      </c>
      <c r="BB39" s="84">
        <v>59.38</v>
      </c>
      <c r="BD39" s="38">
        <v>4094</v>
      </c>
      <c r="BE39" s="53">
        <v>62.54</v>
      </c>
      <c r="BG39" s="84">
        <v>3940</v>
      </c>
      <c r="BH39" s="84">
        <v>54.24</v>
      </c>
    </row>
    <row r="40" spans="1:66" x14ac:dyDescent="0.35">
      <c r="B40" s="38">
        <v>3821</v>
      </c>
      <c r="C40" s="38">
        <v>65.84</v>
      </c>
      <c r="E40" s="38">
        <v>4795</v>
      </c>
      <c r="F40" s="38">
        <v>65.89</v>
      </c>
      <c r="K40" s="38">
        <v>4753</v>
      </c>
      <c r="L40" s="38">
        <v>63.34</v>
      </c>
      <c r="N40" s="38">
        <v>3431</v>
      </c>
      <c r="O40" s="38">
        <v>67.75</v>
      </c>
      <c r="Q40" s="53">
        <v>4756</v>
      </c>
      <c r="R40" s="53">
        <v>62.32</v>
      </c>
      <c r="S40" s="22"/>
      <c r="AC40" s="53">
        <v>3559</v>
      </c>
      <c r="AD40" s="53">
        <v>65.400000000000006</v>
      </c>
      <c r="AF40" s="53">
        <v>3761</v>
      </c>
      <c r="AG40" s="53">
        <v>62.19</v>
      </c>
      <c r="AL40" s="53">
        <v>3578</v>
      </c>
      <c r="AM40" s="53">
        <v>59.3</v>
      </c>
      <c r="AU40" s="81">
        <v>5029</v>
      </c>
      <c r="AV40" s="81">
        <v>62.43</v>
      </c>
      <c r="AX40" s="38">
        <v>4263</v>
      </c>
      <c r="AY40" s="38">
        <v>61.37</v>
      </c>
      <c r="BA40" s="84">
        <v>4239</v>
      </c>
      <c r="BB40" s="84">
        <v>58.54</v>
      </c>
      <c r="BC40" s="19" t="s">
        <v>54</v>
      </c>
      <c r="BD40" s="39">
        <v>4227</v>
      </c>
      <c r="BE40" s="39">
        <v>61.96</v>
      </c>
      <c r="BG40" s="84">
        <v>4022</v>
      </c>
      <c r="BH40" s="84">
        <v>55.01</v>
      </c>
    </row>
    <row r="41" spans="1:66" x14ac:dyDescent="0.35">
      <c r="B41" s="38">
        <v>3871</v>
      </c>
      <c r="C41" s="38">
        <v>65.849999999999994</v>
      </c>
      <c r="E41" s="38">
        <v>4956</v>
      </c>
      <c r="F41" s="38">
        <v>65.92</v>
      </c>
      <c r="K41" s="38">
        <v>4849</v>
      </c>
      <c r="L41" s="38">
        <v>62.84</v>
      </c>
      <c r="N41" s="38">
        <v>3514</v>
      </c>
      <c r="O41" s="38">
        <v>67.319999999999993</v>
      </c>
      <c r="Q41" s="53">
        <v>4939</v>
      </c>
      <c r="R41" s="53">
        <v>63.83</v>
      </c>
      <c r="S41" s="22"/>
      <c r="AC41" s="53">
        <v>3657</v>
      </c>
      <c r="AD41" s="53">
        <v>66.680000000000007</v>
      </c>
      <c r="AF41" s="53">
        <v>3812</v>
      </c>
      <c r="AG41" s="53">
        <v>62.79</v>
      </c>
      <c r="AL41" s="53">
        <v>3779</v>
      </c>
      <c r="AM41" s="53">
        <v>60.01</v>
      </c>
      <c r="AU41" s="81">
        <v>5212</v>
      </c>
      <c r="AV41" s="81">
        <v>62.774000000000001</v>
      </c>
      <c r="AX41" s="38">
        <v>4574</v>
      </c>
      <c r="AY41" s="38">
        <v>65.069999999999993</v>
      </c>
      <c r="BA41" s="84">
        <v>4398</v>
      </c>
      <c r="BB41" s="84">
        <v>57.03</v>
      </c>
      <c r="BG41" s="84">
        <v>4105</v>
      </c>
      <c r="BH41" s="84">
        <v>55.3</v>
      </c>
    </row>
    <row r="42" spans="1:66" x14ac:dyDescent="0.35">
      <c r="B42" s="38">
        <v>3907</v>
      </c>
      <c r="C42" s="38">
        <v>66.02</v>
      </c>
      <c r="E42" s="38">
        <v>5134</v>
      </c>
      <c r="F42" s="38">
        <v>64.75</v>
      </c>
      <c r="K42" s="38">
        <v>5013</v>
      </c>
      <c r="L42" s="38">
        <v>64.400000000000006</v>
      </c>
      <c r="N42" s="38">
        <v>3642</v>
      </c>
      <c r="O42" s="38">
        <v>65.099999999999994</v>
      </c>
      <c r="Q42" s="53">
        <v>5140</v>
      </c>
      <c r="R42" s="53">
        <v>62.8</v>
      </c>
      <c r="S42" s="22"/>
      <c r="AC42" s="38">
        <v>3764</v>
      </c>
      <c r="AD42" s="53">
        <v>67.040000000000006</v>
      </c>
      <c r="AF42" s="53">
        <v>3860</v>
      </c>
      <c r="AG42" s="53">
        <v>63.46</v>
      </c>
      <c r="AL42" s="53">
        <v>4134</v>
      </c>
      <c r="AM42" s="53">
        <v>65.069999999999993</v>
      </c>
      <c r="AT42" s="13" t="s">
        <v>54</v>
      </c>
      <c r="AU42" s="83">
        <v>5365</v>
      </c>
      <c r="AV42" s="83">
        <v>61.53</v>
      </c>
      <c r="AX42" s="38">
        <v>4883</v>
      </c>
      <c r="AY42" s="38">
        <v>68.36</v>
      </c>
      <c r="BA42" s="84">
        <v>4493</v>
      </c>
      <c r="BB42" s="84">
        <v>57.43</v>
      </c>
      <c r="BG42" s="84">
        <v>4186</v>
      </c>
      <c r="BH42" s="84">
        <v>55.69</v>
      </c>
    </row>
    <row r="43" spans="1:66" x14ac:dyDescent="0.35">
      <c r="B43" s="38">
        <v>3958</v>
      </c>
      <c r="C43" s="38">
        <v>65.8</v>
      </c>
      <c r="E43" s="38">
        <v>5237</v>
      </c>
      <c r="F43" s="38">
        <v>64.540000000000006</v>
      </c>
      <c r="K43" s="38">
        <v>5095</v>
      </c>
      <c r="L43" s="38">
        <v>64.7</v>
      </c>
      <c r="N43" s="38">
        <v>3717</v>
      </c>
      <c r="O43" s="38">
        <v>65.05</v>
      </c>
      <c r="Q43" s="53">
        <v>5319</v>
      </c>
      <c r="R43" s="53">
        <v>62.96</v>
      </c>
      <c r="S43" s="22"/>
      <c r="AC43" s="38">
        <v>3856</v>
      </c>
      <c r="AD43" s="53">
        <v>66.36</v>
      </c>
      <c r="AF43" s="53">
        <v>3961</v>
      </c>
      <c r="AG43" s="53">
        <v>64.36</v>
      </c>
      <c r="AL43" s="53">
        <v>4303</v>
      </c>
      <c r="AM43" s="53">
        <v>67.58</v>
      </c>
      <c r="AX43" s="38">
        <v>5058</v>
      </c>
      <c r="AY43" s="38">
        <v>67</v>
      </c>
      <c r="BA43" s="84">
        <v>4611</v>
      </c>
      <c r="BB43" s="84">
        <v>56.34</v>
      </c>
      <c r="BG43" s="84">
        <v>4270</v>
      </c>
      <c r="BH43" s="84">
        <v>55.83</v>
      </c>
    </row>
    <row r="44" spans="1:66" x14ac:dyDescent="0.35">
      <c r="B44" s="38">
        <v>4029</v>
      </c>
      <c r="C44" s="38">
        <v>65.790000000000006</v>
      </c>
      <c r="E44" s="38">
        <v>5335</v>
      </c>
      <c r="F44" s="38">
        <v>65.17</v>
      </c>
      <c r="K44" s="38">
        <v>5179</v>
      </c>
      <c r="L44" s="38">
        <v>65.02</v>
      </c>
      <c r="N44" s="38">
        <v>3794</v>
      </c>
      <c r="O44" s="38">
        <v>65.12</v>
      </c>
      <c r="Q44" s="53">
        <v>5509</v>
      </c>
      <c r="R44" s="53">
        <v>62.91</v>
      </c>
      <c r="S44" s="22"/>
      <c r="AC44" s="38">
        <v>3939</v>
      </c>
      <c r="AD44" s="53">
        <v>66.27</v>
      </c>
      <c r="AF44" s="53">
        <v>3976</v>
      </c>
      <c r="AG44" s="53">
        <v>64.23</v>
      </c>
      <c r="AL44" s="53">
        <v>4448</v>
      </c>
      <c r="AM44" s="53">
        <v>68.36</v>
      </c>
      <c r="AX44" s="38">
        <v>5227</v>
      </c>
      <c r="AY44" s="38">
        <v>65.72</v>
      </c>
      <c r="AZ44" s="13" t="s">
        <v>110</v>
      </c>
      <c r="BA44" s="83">
        <v>4734</v>
      </c>
      <c r="BB44" s="83">
        <v>51.41</v>
      </c>
      <c r="BG44" s="84">
        <v>4344</v>
      </c>
      <c r="BH44" s="84">
        <v>55.8</v>
      </c>
    </row>
    <row r="45" spans="1:66" x14ac:dyDescent="0.35">
      <c r="B45" s="38">
        <v>4209</v>
      </c>
      <c r="C45" s="38">
        <v>66.06</v>
      </c>
      <c r="E45" s="38">
        <v>5526</v>
      </c>
      <c r="F45" s="38">
        <v>64.55</v>
      </c>
      <c r="K45" s="38">
        <v>5365</v>
      </c>
      <c r="L45" s="38">
        <v>62.6</v>
      </c>
      <c r="N45" s="38">
        <v>4038</v>
      </c>
      <c r="O45" s="38">
        <v>65</v>
      </c>
      <c r="Q45" s="53">
        <v>5593</v>
      </c>
      <c r="R45" s="53">
        <v>63.34</v>
      </c>
      <c r="AC45" s="38">
        <v>4106</v>
      </c>
      <c r="AD45" s="53">
        <v>66.900000000000006</v>
      </c>
      <c r="AF45" s="53">
        <v>4072</v>
      </c>
      <c r="AG45" s="53">
        <v>62.65</v>
      </c>
      <c r="AL45" s="53">
        <v>4581</v>
      </c>
      <c r="AM45" s="53">
        <v>67.569999999999993</v>
      </c>
      <c r="AX45" s="38">
        <v>5385</v>
      </c>
      <c r="AY45" s="38">
        <v>64</v>
      </c>
      <c r="BA45" s="84">
        <v>4879</v>
      </c>
      <c r="BB45" s="84">
        <v>59.83</v>
      </c>
      <c r="BG45" s="84">
        <v>4415</v>
      </c>
      <c r="BH45" s="84">
        <v>55.66</v>
      </c>
    </row>
    <row r="46" spans="1:66" x14ac:dyDescent="0.35">
      <c r="B46" s="38">
        <v>4379</v>
      </c>
      <c r="C46" s="38">
        <v>66.06</v>
      </c>
      <c r="E46" s="38">
        <v>5669</v>
      </c>
      <c r="F46" s="38">
        <v>64.75</v>
      </c>
      <c r="K46" s="38">
        <v>5438</v>
      </c>
      <c r="L46" s="38">
        <v>63</v>
      </c>
      <c r="N46" s="38">
        <v>4120</v>
      </c>
      <c r="O46" s="38">
        <v>64.540000000000006</v>
      </c>
      <c r="Q46" s="53">
        <v>5690</v>
      </c>
      <c r="R46" s="53">
        <v>64.08</v>
      </c>
      <c r="AC46" s="38">
        <v>4355</v>
      </c>
      <c r="AD46" s="53">
        <v>65.72</v>
      </c>
      <c r="AF46" s="53">
        <v>4173</v>
      </c>
      <c r="AG46" s="53">
        <v>62.8</v>
      </c>
      <c r="AL46" s="53">
        <v>4963</v>
      </c>
      <c r="AM46" s="53">
        <v>64</v>
      </c>
      <c r="AX46" s="38">
        <v>5512</v>
      </c>
      <c r="AY46" s="38">
        <v>62.43</v>
      </c>
      <c r="BA46" s="84">
        <v>5083</v>
      </c>
      <c r="BB46" s="84">
        <v>60.12</v>
      </c>
      <c r="BG46" s="84">
        <v>4511</v>
      </c>
      <c r="BH46" s="84">
        <v>55.68</v>
      </c>
    </row>
    <row r="47" spans="1:66" x14ac:dyDescent="0.35">
      <c r="A47" s="19" t="s">
        <v>110</v>
      </c>
      <c r="B47" s="39">
        <v>4517</v>
      </c>
      <c r="C47" s="39">
        <v>66.319999999999993</v>
      </c>
      <c r="D47" s="13" t="s">
        <v>110</v>
      </c>
      <c r="E47" s="40">
        <v>5835</v>
      </c>
      <c r="F47" s="40">
        <v>64.02</v>
      </c>
      <c r="K47" s="38">
        <v>5530</v>
      </c>
      <c r="L47" s="38">
        <v>63.17</v>
      </c>
      <c r="N47" s="38">
        <v>4243</v>
      </c>
      <c r="O47" s="38">
        <v>65.89</v>
      </c>
      <c r="Q47" s="53">
        <v>5776</v>
      </c>
      <c r="R47" s="53">
        <v>65.459999999999994</v>
      </c>
      <c r="AC47" s="38">
        <v>4511</v>
      </c>
      <c r="AD47" s="53">
        <v>64</v>
      </c>
      <c r="AF47" s="53">
        <v>4259</v>
      </c>
      <c r="AG47" s="53">
        <v>62.28</v>
      </c>
      <c r="AL47" s="53">
        <v>5085</v>
      </c>
      <c r="AM47" s="53">
        <v>62.43</v>
      </c>
      <c r="AX47" s="38">
        <v>5592</v>
      </c>
      <c r="AY47" s="38">
        <v>62.63</v>
      </c>
      <c r="BA47" s="84">
        <v>5166</v>
      </c>
      <c r="BB47" s="84">
        <v>61.37</v>
      </c>
      <c r="BG47" s="84">
        <v>4590</v>
      </c>
      <c r="BH47" s="84">
        <v>56.36</v>
      </c>
    </row>
    <row r="48" spans="1:66" x14ac:dyDescent="0.35">
      <c r="B48" s="39">
        <v>4921</v>
      </c>
      <c r="C48" s="39">
        <v>66.36</v>
      </c>
      <c r="E48" s="40">
        <v>5975</v>
      </c>
      <c r="F48" s="40">
        <v>63.94</v>
      </c>
      <c r="K48" s="38">
        <v>5665</v>
      </c>
      <c r="L48" s="38">
        <v>62.89</v>
      </c>
      <c r="N48" s="38">
        <v>4370</v>
      </c>
      <c r="O48" s="38">
        <v>66.260000000000005</v>
      </c>
      <c r="Q48" s="53">
        <v>5871</v>
      </c>
      <c r="R48" s="53">
        <v>66.22</v>
      </c>
      <c r="AC48" s="38">
        <v>4596</v>
      </c>
      <c r="AD48" s="53">
        <v>62.96</v>
      </c>
      <c r="AF48" s="53">
        <v>4374</v>
      </c>
      <c r="AG48" s="53">
        <v>60.9</v>
      </c>
      <c r="AL48" s="53">
        <v>5173</v>
      </c>
      <c r="AM48" s="53">
        <v>62.63</v>
      </c>
      <c r="AX48" s="38">
        <v>5759</v>
      </c>
      <c r="AY48" s="38">
        <v>62.469000000000001</v>
      </c>
      <c r="BA48" s="84">
        <v>5476</v>
      </c>
      <c r="BB48" s="84">
        <v>65.069999999999993</v>
      </c>
      <c r="BG48" s="84">
        <v>4664</v>
      </c>
      <c r="BH48" s="84">
        <v>59.64</v>
      </c>
    </row>
    <row r="49" spans="1:60" x14ac:dyDescent="0.35">
      <c r="B49" s="38">
        <v>5324</v>
      </c>
      <c r="C49" s="38">
        <v>68</v>
      </c>
      <c r="E49" s="38">
        <v>6098</v>
      </c>
      <c r="F49" s="38">
        <v>63.34</v>
      </c>
      <c r="K49" s="38">
        <v>5850</v>
      </c>
      <c r="L49" s="38">
        <v>60.05</v>
      </c>
      <c r="N49" s="38">
        <v>4451</v>
      </c>
      <c r="O49" s="38">
        <v>66.03</v>
      </c>
      <c r="Q49" s="53">
        <v>5970</v>
      </c>
      <c r="R49" s="53">
        <v>66.73</v>
      </c>
      <c r="AC49" s="38">
        <v>4840</v>
      </c>
      <c r="AD49" s="53">
        <v>62.774000000000001</v>
      </c>
      <c r="AF49" s="53">
        <v>4419</v>
      </c>
      <c r="AG49" s="53">
        <v>60.71</v>
      </c>
      <c r="AK49" s="19" t="s">
        <v>54</v>
      </c>
      <c r="AL49" s="39">
        <v>5421</v>
      </c>
      <c r="AM49" s="39">
        <v>61.53</v>
      </c>
      <c r="AW49" s="19" t="s">
        <v>54</v>
      </c>
      <c r="AX49" s="39">
        <v>5843</v>
      </c>
      <c r="AY49" s="39">
        <v>61.53</v>
      </c>
      <c r="BA49" s="84">
        <v>5550</v>
      </c>
      <c r="BB49" s="84">
        <v>66.430000000000007</v>
      </c>
      <c r="BG49" s="84">
        <v>4737</v>
      </c>
      <c r="BH49" s="84">
        <v>56.86</v>
      </c>
    </row>
    <row r="50" spans="1:60" x14ac:dyDescent="0.35">
      <c r="B50" s="38">
        <v>5478</v>
      </c>
      <c r="C50" s="38">
        <v>65.760000000000005</v>
      </c>
      <c r="E50" s="38">
        <v>6234</v>
      </c>
      <c r="F50" s="38">
        <v>65.41</v>
      </c>
      <c r="J50" s="13" t="s">
        <v>54</v>
      </c>
      <c r="K50" s="40">
        <v>6026</v>
      </c>
      <c r="L50" s="40">
        <v>61.53</v>
      </c>
      <c r="N50" s="38">
        <v>4548</v>
      </c>
      <c r="O50" s="38">
        <v>65</v>
      </c>
      <c r="Q50" s="53">
        <v>6147</v>
      </c>
      <c r="R50" s="53">
        <v>66.459999999999994</v>
      </c>
      <c r="AC50" s="38">
        <v>4913</v>
      </c>
      <c r="AD50" s="53">
        <v>62.469000000000001</v>
      </c>
      <c r="AF50" s="53">
        <v>4496</v>
      </c>
      <c r="AG50" s="53">
        <v>61.63</v>
      </c>
      <c r="BA50" s="84">
        <v>5787</v>
      </c>
      <c r="BB50" s="84">
        <v>58.36</v>
      </c>
      <c r="BG50" s="84">
        <v>4797</v>
      </c>
      <c r="BH50" s="84">
        <v>57.78</v>
      </c>
    </row>
    <row r="51" spans="1:60" x14ac:dyDescent="0.35">
      <c r="B51" s="38">
        <v>5644</v>
      </c>
      <c r="C51" s="38">
        <v>65.17</v>
      </c>
      <c r="E51" s="38">
        <v>6385</v>
      </c>
      <c r="F51" s="38">
        <v>64.650000000000006</v>
      </c>
      <c r="N51" s="38">
        <v>4700</v>
      </c>
      <c r="O51" s="38">
        <v>65.06</v>
      </c>
      <c r="Q51" s="53">
        <v>6329</v>
      </c>
      <c r="R51" s="53">
        <v>66.900000000000006</v>
      </c>
      <c r="AB51" s="13" t="s">
        <v>54</v>
      </c>
      <c r="AC51" s="40">
        <v>5002</v>
      </c>
      <c r="AD51" s="40">
        <v>61.53</v>
      </c>
      <c r="AF51" s="53">
        <v>4579</v>
      </c>
      <c r="AG51" s="53">
        <v>62.74</v>
      </c>
      <c r="BA51" s="84">
        <v>5920</v>
      </c>
      <c r="BB51" s="84">
        <v>67.569999999999993</v>
      </c>
      <c r="BG51" s="84">
        <v>4937</v>
      </c>
      <c r="BH51" s="84">
        <v>57.32</v>
      </c>
    </row>
    <row r="52" spans="1:60" x14ac:dyDescent="0.35">
      <c r="B52" s="38">
        <v>5787</v>
      </c>
      <c r="C52" s="38">
        <v>65.010000000000005</v>
      </c>
      <c r="E52" s="38">
        <v>6580</v>
      </c>
      <c r="F52" s="38">
        <v>63.34</v>
      </c>
      <c r="N52" s="38">
        <v>4834</v>
      </c>
      <c r="O52" s="38">
        <v>64.77</v>
      </c>
      <c r="Q52" s="53">
        <v>6448</v>
      </c>
      <c r="R52" s="53">
        <v>65.959999999999994</v>
      </c>
      <c r="AF52" s="53">
        <v>4651</v>
      </c>
      <c r="AG52" s="53">
        <v>62.89</v>
      </c>
      <c r="BA52" s="84">
        <v>6066</v>
      </c>
      <c r="BB52" s="84">
        <v>65.72</v>
      </c>
      <c r="BG52" s="84">
        <v>5061</v>
      </c>
      <c r="BH52" s="84">
        <v>58.4</v>
      </c>
    </row>
    <row r="53" spans="1:60" x14ac:dyDescent="0.35">
      <c r="B53" s="38">
        <v>5993</v>
      </c>
      <c r="C53" s="38">
        <v>65.02</v>
      </c>
      <c r="E53" s="38">
        <v>6677</v>
      </c>
      <c r="F53" s="38">
        <v>62.84</v>
      </c>
      <c r="N53" s="38">
        <v>4892</v>
      </c>
      <c r="O53" s="38">
        <v>64.510000000000005</v>
      </c>
      <c r="Q53" s="53">
        <v>6565</v>
      </c>
      <c r="R53" s="53">
        <v>65.489999999999995</v>
      </c>
      <c r="AF53" s="53">
        <v>4779</v>
      </c>
      <c r="AG53" s="53">
        <v>63.09</v>
      </c>
      <c r="BA53" s="84">
        <v>6257</v>
      </c>
      <c r="BB53" s="84">
        <v>64.180000000000007</v>
      </c>
      <c r="BG53" s="84">
        <v>5183</v>
      </c>
      <c r="BH53" s="84">
        <v>59.04</v>
      </c>
    </row>
    <row r="54" spans="1:60" x14ac:dyDescent="0.35">
      <c r="B54" s="38">
        <v>6171</v>
      </c>
      <c r="C54" s="38">
        <v>65.89</v>
      </c>
      <c r="E54" s="38">
        <v>6853</v>
      </c>
      <c r="F54" s="38">
        <v>64.400000000000006</v>
      </c>
      <c r="N54" s="38">
        <v>4971</v>
      </c>
      <c r="O54" s="38">
        <v>64.55</v>
      </c>
      <c r="Q54" s="53">
        <v>6718</v>
      </c>
      <c r="R54" s="53">
        <v>64.28</v>
      </c>
      <c r="AF54" s="53">
        <v>4827</v>
      </c>
      <c r="AG54" s="53">
        <v>62.99</v>
      </c>
      <c r="BA54" s="84">
        <v>6407</v>
      </c>
      <c r="BB54" s="84">
        <v>62.43</v>
      </c>
      <c r="BG54" s="84">
        <v>5335</v>
      </c>
      <c r="BH54" s="84">
        <v>61.25</v>
      </c>
    </row>
    <row r="55" spans="1:60" x14ac:dyDescent="0.35">
      <c r="B55" s="38">
        <v>6332</v>
      </c>
      <c r="C55" s="38">
        <v>65.92</v>
      </c>
      <c r="E55" s="38">
        <v>6928</v>
      </c>
      <c r="F55" s="38">
        <v>64.7</v>
      </c>
      <c r="N55" s="38">
        <v>4997</v>
      </c>
      <c r="O55" s="38">
        <v>64.06</v>
      </c>
      <c r="Q55" s="53">
        <v>6845</v>
      </c>
      <c r="R55" s="53">
        <v>62.31</v>
      </c>
      <c r="AF55" s="53">
        <v>4887</v>
      </c>
      <c r="AG55" s="53">
        <v>62.66</v>
      </c>
      <c r="BA55" s="84">
        <v>6491</v>
      </c>
      <c r="BB55" s="84">
        <v>62.63</v>
      </c>
      <c r="BG55" s="84">
        <v>5448</v>
      </c>
      <c r="BH55" s="84">
        <v>62.54</v>
      </c>
    </row>
    <row r="56" spans="1:60" x14ac:dyDescent="0.35">
      <c r="B56" s="38">
        <v>6509</v>
      </c>
      <c r="C56" s="38">
        <v>64.75</v>
      </c>
      <c r="E56" s="38">
        <v>7090</v>
      </c>
      <c r="F56" s="38">
        <v>64.7</v>
      </c>
      <c r="N56" s="38">
        <v>5034</v>
      </c>
      <c r="O56" s="38">
        <v>64.680000000000007</v>
      </c>
      <c r="Q56" s="53">
        <v>7042</v>
      </c>
      <c r="R56" s="53">
        <v>62.774000000000001</v>
      </c>
      <c r="AF56" s="53">
        <v>4975</v>
      </c>
      <c r="AG56" s="53">
        <v>62.97</v>
      </c>
      <c r="AZ56" s="13" t="s">
        <v>54</v>
      </c>
      <c r="BA56" s="83">
        <v>6738</v>
      </c>
      <c r="BB56" s="83">
        <v>61.53</v>
      </c>
      <c r="BG56" s="84">
        <v>5521</v>
      </c>
      <c r="BH56" s="84">
        <v>62.97</v>
      </c>
    </row>
    <row r="57" spans="1:60" x14ac:dyDescent="0.35">
      <c r="B57" s="38">
        <v>6619</v>
      </c>
      <c r="C57" s="38">
        <v>64.540000000000006</v>
      </c>
      <c r="E57" s="38">
        <v>7197</v>
      </c>
      <c r="F57" s="38">
        <v>62.6</v>
      </c>
      <c r="N57" s="38">
        <v>5093</v>
      </c>
      <c r="O57" s="38">
        <v>64.7</v>
      </c>
      <c r="P57" s="13" t="s">
        <v>54</v>
      </c>
      <c r="Q57" s="40">
        <v>7197</v>
      </c>
      <c r="R57" s="40">
        <v>61.53</v>
      </c>
      <c r="AF57" s="53">
        <v>5060</v>
      </c>
      <c r="AG57" s="53">
        <v>62.87</v>
      </c>
      <c r="BG57" s="84">
        <v>5704</v>
      </c>
      <c r="BH57" s="84">
        <v>62.71</v>
      </c>
    </row>
    <row r="58" spans="1:60" x14ac:dyDescent="0.35">
      <c r="B58" s="38">
        <v>6713</v>
      </c>
      <c r="C58" s="38">
        <v>65.17</v>
      </c>
      <c r="E58" s="38">
        <v>7433</v>
      </c>
      <c r="F58" s="38">
        <v>63.9</v>
      </c>
      <c r="M58" s="19" t="s">
        <v>110</v>
      </c>
      <c r="N58" s="39">
        <v>5317</v>
      </c>
      <c r="O58" s="39">
        <v>64.02</v>
      </c>
      <c r="AF58" s="53">
        <v>5144</v>
      </c>
      <c r="AG58" s="53">
        <v>63.12</v>
      </c>
      <c r="BG58" s="84">
        <v>5882</v>
      </c>
      <c r="BH58" s="84">
        <v>62.53</v>
      </c>
    </row>
    <row r="59" spans="1:60" x14ac:dyDescent="0.35">
      <c r="B59" s="38">
        <v>7053</v>
      </c>
      <c r="C59" s="38">
        <v>64.75</v>
      </c>
      <c r="E59" s="38">
        <v>7546</v>
      </c>
      <c r="F59" s="38">
        <v>60.6</v>
      </c>
      <c r="N59" s="39">
        <v>5446</v>
      </c>
      <c r="O59" s="39">
        <v>63.94</v>
      </c>
      <c r="AF59" s="53">
        <v>5252</v>
      </c>
      <c r="AG59" s="53">
        <v>62.66</v>
      </c>
      <c r="BG59" s="84">
        <v>6004</v>
      </c>
      <c r="BH59" s="84">
        <v>62.48</v>
      </c>
    </row>
    <row r="60" spans="1:60" x14ac:dyDescent="0.35">
      <c r="A60" s="19" t="s">
        <v>110</v>
      </c>
      <c r="B60" s="39">
        <v>7211</v>
      </c>
      <c r="C60" s="39">
        <v>63.78</v>
      </c>
      <c r="D60" s="13" t="s">
        <v>54</v>
      </c>
      <c r="E60" s="40">
        <v>7852</v>
      </c>
      <c r="F60" s="40">
        <v>61.53</v>
      </c>
      <c r="N60" s="38">
        <v>5586</v>
      </c>
      <c r="O60" s="38">
        <v>64.64</v>
      </c>
      <c r="AF60" s="53">
        <v>5340</v>
      </c>
      <c r="AG60" s="53">
        <v>63.05</v>
      </c>
      <c r="BG60" s="84">
        <v>6101</v>
      </c>
      <c r="BH60" s="84">
        <v>62.54</v>
      </c>
    </row>
    <row r="61" spans="1:60" x14ac:dyDescent="0.35">
      <c r="B61" s="39">
        <v>7350</v>
      </c>
      <c r="C61" s="39">
        <v>63.94</v>
      </c>
      <c r="N61" s="38">
        <v>5804</v>
      </c>
      <c r="O61" s="38">
        <v>65.37</v>
      </c>
      <c r="AF61" s="53">
        <v>5521</v>
      </c>
      <c r="AG61" s="53">
        <v>63.82</v>
      </c>
      <c r="BF61" s="13" t="s">
        <v>54</v>
      </c>
      <c r="BG61" s="83">
        <v>6232</v>
      </c>
      <c r="BH61" s="83">
        <v>61.96</v>
      </c>
    </row>
    <row r="62" spans="1:60" x14ac:dyDescent="0.35">
      <c r="B62" s="38">
        <v>7466</v>
      </c>
      <c r="C62" s="38">
        <v>64.34</v>
      </c>
      <c r="N62" s="38">
        <v>5896</v>
      </c>
      <c r="O62" s="38">
        <v>64.66</v>
      </c>
      <c r="AF62" s="53">
        <v>5604</v>
      </c>
      <c r="AG62" s="53">
        <v>65.400000000000006</v>
      </c>
    </row>
    <row r="63" spans="1:60" x14ac:dyDescent="0.35">
      <c r="B63" s="38">
        <v>7623</v>
      </c>
      <c r="C63" s="38">
        <v>65.41</v>
      </c>
      <c r="N63" s="38">
        <v>6212</v>
      </c>
      <c r="O63" s="38">
        <v>63.37</v>
      </c>
      <c r="AF63" s="53">
        <v>5700</v>
      </c>
      <c r="AG63" s="53">
        <v>66.680000000000007</v>
      </c>
    </row>
    <row r="64" spans="1:60" x14ac:dyDescent="0.35">
      <c r="B64" s="38">
        <v>7767</v>
      </c>
      <c r="C64" s="38">
        <v>64.650000000000006</v>
      </c>
      <c r="N64" s="38">
        <v>6530</v>
      </c>
      <c r="O64" s="38">
        <v>64.7</v>
      </c>
      <c r="AF64" s="53">
        <v>5805</v>
      </c>
      <c r="AG64" s="53">
        <v>67.040000000000006</v>
      </c>
    </row>
    <row r="65" spans="1:33" x14ac:dyDescent="0.35">
      <c r="B65" s="38">
        <v>7855</v>
      </c>
      <c r="C65" s="38">
        <v>63.99</v>
      </c>
      <c r="N65" s="38">
        <v>6679</v>
      </c>
      <c r="O65" s="38">
        <v>63.61</v>
      </c>
      <c r="AF65" s="53">
        <v>5898</v>
      </c>
      <c r="AG65" s="53">
        <v>66.36</v>
      </c>
    </row>
    <row r="66" spans="1:33" x14ac:dyDescent="0.35">
      <c r="B66" s="38">
        <v>7958</v>
      </c>
      <c r="C66" s="38">
        <v>63.34</v>
      </c>
      <c r="N66" s="38">
        <v>6761</v>
      </c>
      <c r="O66" s="38">
        <v>64.760000000000005</v>
      </c>
      <c r="AF66" s="53">
        <v>5981</v>
      </c>
      <c r="AG66" s="53">
        <v>66.27</v>
      </c>
    </row>
    <row r="67" spans="1:33" x14ac:dyDescent="0.35">
      <c r="B67" s="38">
        <v>8222</v>
      </c>
      <c r="C67" s="38">
        <v>64.400000000000006</v>
      </c>
      <c r="N67" s="38">
        <v>6960</v>
      </c>
      <c r="O67" s="38">
        <v>61.83</v>
      </c>
      <c r="AF67" s="53">
        <v>6157</v>
      </c>
      <c r="AG67" s="53">
        <v>66.900000000000006</v>
      </c>
    </row>
    <row r="68" spans="1:33" x14ac:dyDescent="0.35">
      <c r="B68" s="38">
        <v>8296</v>
      </c>
      <c r="C68" s="38">
        <v>64.7</v>
      </c>
      <c r="M68" s="19" t="s">
        <v>54</v>
      </c>
      <c r="N68" s="39">
        <v>7299</v>
      </c>
      <c r="O68" s="39">
        <v>61.53</v>
      </c>
      <c r="AF68" s="53">
        <v>6339</v>
      </c>
      <c r="AG68" s="53">
        <v>65.95</v>
      </c>
    </row>
    <row r="69" spans="1:33" x14ac:dyDescent="0.35">
      <c r="B69" s="38">
        <v>8468</v>
      </c>
      <c r="C69" s="38">
        <v>64.7</v>
      </c>
      <c r="AF69" s="53">
        <v>6395</v>
      </c>
      <c r="AG69" s="53">
        <v>65.72</v>
      </c>
    </row>
    <row r="70" spans="1:33" x14ac:dyDescent="0.35">
      <c r="B70" s="38">
        <v>8572</v>
      </c>
      <c r="C70" s="38">
        <v>62.6</v>
      </c>
      <c r="AF70" s="53">
        <v>6553</v>
      </c>
      <c r="AG70" s="53">
        <v>64</v>
      </c>
    </row>
    <row r="71" spans="1:33" x14ac:dyDescent="0.35">
      <c r="B71" s="38">
        <v>8644</v>
      </c>
      <c r="C71" s="38">
        <v>63</v>
      </c>
      <c r="AF71" s="53">
        <v>6635</v>
      </c>
      <c r="AG71" s="53">
        <v>62.96</v>
      </c>
    </row>
    <row r="72" spans="1:33" x14ac:dyDescent="0.35">
      <c r="B72" s="38">
        <v>8814</v>
      </c>
      <c r="C72" s="38">
        <v>63.9</v>
      </c>
      <c r="AF72" s="53">
        <v>6674</v>
      </c>
      <c r="AG72" s="53">
        <v>62.43</v>
      </c>
    </row>
    <row r="73" spans="1:33" x14ac:dyDescent="0.35">
      <c r="B73" s="38">
        <v>8926</v>
      </c>
      <c r="C73" s="38">
        <v>60.6</v>
      </c>
      <c r="AE73" s="19" t="s">
        <v>54</v>
      </c>
      <c r="AF73" s="9">
        <v>7026</v>
      </c>
      <c r="AG73" s="9">
        <v>61.53</v>
      </c>
    </row>
    <row r="74" spans="1:33" x14ac:dyDescent="0.35">
      <c r="B74" s="38">
        <v>9162</v>
      </c>
      <c r="C74" s="38">
        <v>60.4</v>
      </c>
    </row>
    <row r="75" spans="1:33" x14ac:dyDescent="0.35">
      <c r="A75" s="19" t="s">
        <v>54</v>
      </c>
      <c r="B75" s="39">
        <v>9232</v>
      </c>
      <c r="C75" s="39">
        <v>61.53</v>
      </c>
    </row>
  </sheetData>
  <mergeCells count="30">
    <mergeCell ref="CH1:CI1"/>
    <mergeCell ref="CK1:CL1"/>
    <mergeCell ref="BS1:BT1"/>
    <mergeCell ref="BV1:BW1"/>
    <mergeCell ref="BY1:BZ1"/>
    <mergeCell ref="CB1:CC1"/>
    <mergeCell ref="CE1:CF1"/>
    <mergeCell ref="BM1:BN1"/>
    <mergeCell ref="BP1:BQ1"/>
    <mergeCell ref="AF1:AG1"/>
    <mergeCell ref="AC1:AD1"/>
    <mergeCell ref="W1:X1"/>
    <mergeCell ref="AX1:AY1"/>
    <mergeCell ref="BA1:BB1"/>
    <mergeCell ref="BD1:BE1"/>
    <mergeCell ref="BG1:BH1"/>
    <mergeCell ref="BJ1:BK1"/>
    <mergeCell ref="AI1:AJ1"/>
    <mergeCell ref="AL1:AM1"/>
    <mergeCell ref="AO1:AP1"/>
    <mergeCell ref="AR1:AS1"/>
    <mergeCell ref="AU1:AV1"/>
    <mergeCell ref="T1:U1"/>
    <mergeCell ref="Z1:AA1"/>
    <mergeCell ref="B1:C1"/>
    <mergeCell ref="E1:F1"/>
    <mergeCell ref="H1:I1"/>
    <mergeCell ref="K1:L1"/>
    <mergeCell ref="N1:O1"/>
    <mergeCell ref="Q1:R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1</vt:i4>
      </vt:variant>
    </vt:vector>
  </HeadingPairs>
  <TitlesOfParts>
    <vt:vector size="15" baseType="lpstr">
      <vt:lpstr>График</vt:lpstr>
      <vt:lpstr>ГрафикVBA</vt:lpstr>
      <vt:lpstr>Расчет</vt:lpstr>
      <vt:lpstr>УКПГ-1АВ</vt:lpstr>
      <vt:lpstr>УКПГ-1АС</vt:lpstr>
      <vt:lpstr>УКПГ-2В</vt:lpstr>
      <vt:lpstr>УКПГ-2</vt:lpstr>
      <vt:lpstr>УКПГ-3</vt:lpstr>
      <vt:lpstr>УКПГ-4</vt:lpstr>
      <vt:lpstr>УКПГ-5В</vt:lpstr>
      <vt:lpstr>УКПГ-5С</vt:lpstr>
      <vt:lpstr>УКПГ-6</vt:lpstr>
      <vt:lpstr>УКПГ-7</vt:lpstr>
      <vt:lpstr>УКПГ-8В</vt:lpstr>
      <vt:lpstr>Название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Серебрянский Сергей Александрович</dc:creator>
  <cp:lastModifiedBy>Anastasiia Sukhonosenko</cp:lastModifiedBy>
  <dcterms:created xsi:type="dcterms:W3CDTF">2015-08-12T03:29:22Z</dcterms:created>
  <dcterms:modified xsi:type="dcterms:W3CDTF">2021-01-25T11:19:34Z</dcterms:modified>
</cp:coreProperties>
</file>