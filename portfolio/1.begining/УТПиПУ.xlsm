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ЭтаКнига"/>
  <mc:AlternateContent xmlns:mc="http://schemas.openxmlformats.org/markup-compatibility/2006">
    <mc:Choice Requires="x15">
      <x15ac:absPath xmlns:x15ac="http://schemas.microsoft.com/office/spreadsheetml/2010/11/ac" url="https://d.docs.live.net/a766a924895f3ec2/Desktop/"/>
    </mc:Choice>
  </mc:AlternateContent>
  <xr:revisionPtr revIDLastSave="0" documentId="8_{2CB12E93-9C11-4CF7-A5A1-7A20230AFAEF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Зарегистрированные" sheetId="1" r:id="rId1"/>
    <sheet name="Исходящие (07022016)" sheetId="5" state="hidden" r:id="rId2"/>
  </sheets>
  <definedNames>
    <definedName name="Исполнитель">#REF!</definedName>
    <definedName name="местонахождение">#REF!</definedName>
    <definedName name="Подписал">#REF!</definedName>
  </definedNames>
  <calcPr calcId="191029"/>
  <customWorkbookViews>
    <customWorkbookView name="настя - Личное представление" guid="{A37B274A-F9CD-46E3-AA66-F84B1A83AD7F}" autoUpdate="1" mergeInterval="10" personalView="1" maximized="1" xWindow="-9" yWindow="-9" windowWidth="1938" windowHeight="1050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1" l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J8" i="5" l="1"/>
  <c r="J9" i="5" s="1"/>
  <c r="H7" i="5"/>
  <c r="H4" i="5"/>
  <c r="H2" i="5"/>
  <c r="H9" i="5" l="1"/>
  <c r="J10" i="5"/>
  <c r="H8" i="5"/>
  <c r="J11" i="5" l="1"/>
  <c r="H10" i="5"/>
  <c r="H11" i="5" l="1"/>
  <c r="J12" i="5"/>
  <c r="J13" i="5" l="1"/>
  <c r="H12" i="5"/>
  <c r="H13" i="5" l="1"/>
  <c r="J14" i="5"/>
  <c r="J15" i="5" l="1"/>
  <c r="H14" i="5"/>
  <c r="H15" i="5" l="1"/>
  <c r="J16" i="5"/>
  <c r="J17" i="5" l="1"/>
  <c r="H16" i="5"/>
  <c r="J18" i="5" l="1"/>
  <c r="H17" i="5"/>
  <c r="J19" i="5" l="1"/>
  <c r="H18" i="5"/>
  <c r="J20" i="5" l="1"/>
  <c r="H19" i="5"/>
  <c r="J21" i="5" l="1"/>
  <c r="H20" i="5"/>
  <c r="J22" i="5" l="1"/>
  <c r="H21" i="5"/>
  <c r="J23" i="5" l="1"/>
  <c r="H22" i="5"/>
  <c r="J24" i="5" l="1"/>
  <c r="H23" i="5"/>
  <c r="J25" i="5" l="1"/>
  <c r="H24" i="5"/>
  <c r="H25" i="5" l="1"/>
  <c r="J26" i="5"/>
  <c r="J27" i="5" l="1"/>
  <c r="H26" i="5"/>
  <c r="H27" i="5" l="1"/>
  <c r="J28" i="5"/>
  <c r="J29" i="5" l="1"/>
  <c r="H28" i="5"/>
  <c r="H29" i="5" l="1"/>
  <c r="J30" i="5"/>
  <c r="J31" i="5" l="1"/>
  <c r="H30" i="5"/>
  <c r="H31" i="5" l="1"/>
  <c r="J32" i="5"/>
  <c r="J33" i="5" l="1"/>
  <c r="H32" i="5"/>
  <c r="H33" i="5" l="1"/>
  <c r="J34" i="5"/>
  <c r="J35" i="5" l="1"/>
  <c r="H34" i="5"/>
  <c r="H35" i="5" l="1"/>
  <c r="J36" i="5"/>
  <c r="J37" i="5" l="1"/>
  <c r="H36" i="5"/>
  <c r="H37" i="5" l="1"/>
  <c r="J38" i="5"/>
  <c r="J39" i="5" l="1"/>
  <c r="H38" i="5"/>
  <c r="H39" i="5" l="1"/>
  <c r="J40" i="5"/>
  <c r="J41" i="5" l="1"/>
  <c r="H40" i="5"/>
  <c r="H41" i="5" l="1"/>
  <c r="J42" i="5"/>
  <c r="J43" i="5" l="1"/>
  <c r="H42" i="5"/>
  <c r="H43" i="5" l="1"/>
  <c r="J44" i="5"/>
  <c r="J45" i="5" l="1"/>
  <c r="H44" i="5"/>
  <c r="H45" i="5" l="1"/>
  <c r="J46" i="5"/>
  <c r="J47" i="5" l="1"/>
  <c r="H46" i="5"/>
  <c r="H47" i="5" l="1"/>
  <c r="J48" i="5"/>
  <c r="J49" i="5" l="1"/>
  <c r="H48" i="5"/>
  <c r="H49" i="5" l="1"/>
  <c r="J50" i="5"/>
  <c r="J51" i="5" l="1"/>
  <c r="H50" i="5"/>
  <c r="H51" i="5" l="1"/>
  <c r="J52" i="5"/>
  <c r="J53" i="5" l="1"/>
  <c r="H52" i="5"/>
  <c r="H53" i="5" l="1"/>
  <c r="J54" i="5"/>
  <c r="J55" i="5" l="1"/>
  <c r="H54" i="5"/>
  <c r="H55" i="5" l="1"/>
  <c r="J56" i="5"/>
  <c r="J57" i="5" l="1"/>
  <c r="H56" i="5"/>
  <c r="H57" i="5" l="1"/>
  <c r="J58" i="5"/>
  <c r="J59" i="5" l="1"/>
  <c r="H58" i="5"/>
  <c r="H59" i="5" l="1"/>
  <c r="J60" i="5"/>
  <c r="J61" i="5" l="1"/>
  <c r="H60" i="5"/>
  <c r="H61" i="5" l="1"/>
  <c r="J62" i="5"/>
  <c r="J63" i="5" l="1"/>
  <c r="H62" i="5"/>
  <c r="H63" i="5" l="1"/>
  <c r="J64" i="5"/>
  <c r="J65" i="5" l="1"/>
  <c r="H64" i="5"/>
  <c r="H65" i="5" l="1"/>
  <c r="J66" i="5"/>
  <c r="J67" i="5" l="1"/>
  <c r="H66" i="5"/>
  <c r="H67" i="5" l="1"/>
  <c r="J68" i="5"/>
  <c r="J69" i="5" l="1"/>
  <c r="H68" i="5"/>
  <c r="H69" i="5" l="1"/>
  <c r="J70" i="5"/>
  <c r="J71" i="5" l="1"/>
  <c r="H70" i="5"/>
  <c r="H71" i="5" l="1"/>
  <c r="J72" i="5"/>
  <c r="J73" i="5" l="1"/>
  <c r="H72" i="5"/>
  <c r="H73" i="5" l="1"/>
  <c r="J74" i="5"/>
  <c r="J75" i="5" l="1"/>
  <c r="H74" i="5"/>
  <c r="H75" i="5" l="1"/>
  <c r="J76" i="5"/>
  <c r="J77" i="5" l="1"/>
  <c r="H76" i="5"/>
  <c r="H77" i="5" l="1"/>
  <c r="J78" i="5"/>
  <c r="J79" i="5" l="1"/>
  <c r="H78" i="5"/>
  <c r="H79" i="5" l="1"/>
  <c r="J80" i="5"/>
  <c r="J81" i="5" l="1"/>
  <c r="H80" i="5"/>
  <c r="H81" i="5" l="1"/>
  <c r="J82" i="5"/>
  <c r="J83" i="5" l="1"/>
  <c r="H82" i="5"/>
  <c r="H83" i="5" l="1"/>
  <c r="J84" i="5"/>
  <c r="J85" i="5" l="1"/>
  <c r="H84" i="5"/>
  <c r="H85" i="5" l="1"/>
  <c r="J86" i="5"/>
  <c r="J87" i="5" l="1"/>
  <c r="H86" i="5"/>
  <c r="H87" i="5" l="1"/>
  <c r="J88" i="5"/>
  <c r="J89" i="5" l="1"/>
  <c r="H88" i="5"/>
  <c r="H89" i="5" l="1"/>
  <c r="J90" i="5"/>
  <c r="J91" i="5" l="1"/>
  <c r="H90" i="5"/>
  <c r="H91" i="5" l="1"/>
  <c r="J92" i="5"/>
  <c r="J93" i="5" l="1"/>
  <c r="H92" i="5"/>
  <c r="H93" i="5" l="1"/>
  <c r="J94" i="5"/>
  <c r="J95" i="5" l="1"/>
  <c r="H94" i="5"/>
  <c r="H95" i="5" l="1"/>
  <c r="J96" i="5"/>
  <c r="J97" i="5" l="1"/>
  <c r="H96" i="5"/>
  <c r="H97" i="5" l="1"/>
  <c r="J98" i="5"/>
  <c r="J99" i="5" l="1"/>
  <c r="H98" i="5"/>
  <c r="H99" i="5" l="1"/>
  <c r="J100" i="5"/>
  <c r="J101" i="5" l="1"/>
  <c r="H100" i="5"/>
  <c r="H101" i="5" l="1"/>
  <c r="J102" i="5"/>
  <c r="J103" i="5" l="1"/>
  <c r="H102" i="5"/>
  <c r="H103" i="5" l="1"/>
  <c r="J104" i="5"/>
  <c r="J105" i="5" l="1"/>
  <c r="H104" i="5"/>
  <c r="H105" i="5" l="1"/>
  <c r="J106" i="5"/>
  <c r="J107" i="5" l="1"/>
  <c r="H106" i="5"/>
  <c r="H107" i="5" l="1"/>
  <c r="J108" i="5"/>
  <c r="J109" i="5" l="1"/>
  <c r="H108" i="5"/>
  <c r="H109" i="5" l="1"/>
  <c r="J110" i="5"/>
  <c r="J111" i="5" l="1"/>
  <c r="H110" i="5"/>
  <c r="H111" i="5" l="1"/>
  <c r="J112" i="5"/>
  <c r="J113" i="5" l="1"/>
  <c r="H112" i="5"/>
  <c r="H113" i="5" l="1"/>
  <c r="J114" i="5"/>
  <c r="J115" i="5" l="1"/>
  <c r="H114" i="5"/>
  <c r="H115" i="5" l="1"/>
  <c r="J116" i="5"/>
  <c r="J117" i="5" l="1"/>
  <c r="H116" i="5"/>
  <c r="H117" i="5" l="1"/>
  <c r="J118" i="5"/>
  <c r="J119" i="5" l="1"/>
  <c r="H118" i="5"/>
  <c r="H119" i="5" l="1"/>
  <c r="J120" i="5"/>
  <c r="J121" i="5" l="1"/>
  <c r="H120" i="5"/>
  <c r="H121" i="5" l="1"/>
  <c r="J122" i="5"/>
  <c r="J123" i="5" l="1"/>
  <c r="H122" i="5"/>
  <c r="H123" i="5" l="1"/>
  <c r="J124" i="5"/>
  <c r="J125" i="5" l="1"/>
  <c r="H124" i="5"/>
  <c r="H125" i="5" l="1"/>
  <c r="J126" i="5"/>
  <c r="J127" i="5" l="1"/>
  <c r="H126" i="5"/>
  <c r="H127" i="5" l="1"/>
  <c r="J128" i="5"/>
  <c r="J129" i="5" l="1"/>
  <c r="H128" i="5"/>
  <c r="H129" i="5" l="1"/>
  <c r="J130" i="5"/>
  <c r="J131" i="5" l="1"/>
  <c r="H130" i="5"/>
  <c r="H131" i="5" l="1"/>
  <c r="J132" i="5"/>
  <c r="J133" i="5" l="1"/>
  <c r="H132" i="5"/>
  <c r="H133" i="5" l="1"/>
  <c r="J134" i="5"/>
  <c r="J135" i="5" l="1"/>
  <c r="H134" i="5"/>
  <c r="H135" i="5" l="1"/>
  <c r="J136" i="5"/>
  <c r="J137" i="5" l="1"/>
  <c r="H136" i="5"/>
  <c r="H137" i="5" l="1"/>
  <c r="J138" i="5"/>
  <c r="J139" i="5" l="1"/>
  <c r="H138" i="5"/>
  <c r="H139" i="5" l="1"/>
  <c r="J140" i="5"/>
  <c r="J141" i="5" l="1"/>
  <c r="H140" i="5"/>
  <c r="H141" i="5" l="1"/>
  <c r="J142" i="5"/>
  <c r="J143" i="5" l="1"/>
  <c r="H142" i="5"/>
  <c r="H143" i="5" l="1"/>
  <c r="J144" i="5"/>
  <c r="J145" i="5" l="1"/>
  <c r="H144" i="5"/>
  <c r="H145" i="5" l="1"/>
  <c r="J146" i="5"/>
  <c r="J147" i="5" l="1"/>
  <c r="H146" i="5"/>
  <c r="H147" i="5" l="1"/>
  <c r="J148" i="5"/>
  <c r="J149" i="5" l="1"/>
  <c r="H148" i="5"/>
  <c r="H149" i="5" l="1"/>
  <c r="J150" i="5"/>
  <c r="J151" i="5" l="1"/>
  <c r="H150" i="5"/>
  <c r="H151" i="5" l="1"/>
  <c r="J152" i="5"/>
  <c r="J153" i="5" l="1"/>
  <c r="H152" i="5"/>
  <c r="H153" i="5" l="1"/>
  <c r="J154" i="5"/>
  <c r="J155" i="5" l="1"/>
  <c r="H154" i="5"/>
  <c r="H155" i="5" l="1"/>
  <c r="J156" i="5"/>
  <c r="J157" i="5" l="1"/>
  <c r="H156" i="5"/>
  <c r="H157" i="5" l="1"/>
  <c r="J158" i="5"/>
  <c r="J159" i="5" l="1"/>
  <c r="H158" i="5"/>
  <c r="H159" i="5" l="1"/>
  <c r="J160" i="5"/>
  <c r="J161" i="5" l="1"/>
  <c r="H160" i="5"/>
  <c r="H161" i="5" l="1"/>
  <c r="J162" i="5"/>
  <c r="J163" i="5" l="1"/>
  <c r="H162" i="5"/>
  <c r="H163" i="5" l="1"/>
  <c r="J164" i="5"/>
  <c r="J165" i="5" l="1"/>
  <c r="H164" i="5"/>
  <c r="H165" i="5" l="1"/>
  <c r="J166" i="5"/>
  <c r="J167" i="5" l="1"/>
  <c r="H166" i="5"/>
  <c r="H167" i="5" l="1"/>
  <c r="J168" i="5"/>
  <c r="J169" i="5" l="1"/>
  <c r="H168" i="5"/>
  <c r="H169" i="5" l="1"/>
  <c r="J170" i="5"/>
  <c r="J171" i="5" l="1"/>
  <c r="H170" i="5"/>
  <c r="H171" i="5" l="1"/>
  <c r="J172" i="5"/>
  <c r="J173" i="5" l="1"/>
  <c r="H172" i="5"/>
  <c r="H173" i="5" l="1"/>
  <c r="J174" i="5"/>
  <c r="J175" i="5" l="1"/>
  <c r="H174" i="5"/>
  <c r="H175" i="5" l="1"/>
  <c r="J176" i="5"/>
  <c r="J177" i="5" l="1"/>
  <c r="H176" i="5"/>
  <c r="H177" i="5" l="1"/>
  <c r="J178" i="5"/>
  <c r="J179" i="5" l="1"/>
  <c r="H178" i="5"/>
  <c r="H179" i="5" l="1"/>
  <c r="J180" i="5"/>
  <c r="J181" i="5" l="1"/>
  <c r="H180" i="5"/>
  <c r="H181" i="5" l="1"/>
  <c r="J182" i="5"/>
  <c r="J183" i="5" l="1"/>
  <c r="H182" i="5"/>
  <c r="H183" i="5" l="1"/>
  <c r="J184" i="5"/>
  <c r="J185" i="5" l="1"/>
  <c r="H184" i="5"/>
  <c r="H185" i="5" l="1"/>
  <c r="J186" i="5"/>
  <c r="J187" i="5" l="1"/>
  <c r="H187" i="5" s="1"/>
  <c r="H186" i="5"/>
</calcChain>
</file>

<file path=xl/sharedStrings.xml><?xml version="1.0" encoding="utf-8"?>
<sst xmlns="http://schemas.openxmlformats.org/spreadsheetml/2006/main" count="1360" uniqueCount="377">
  <si>
    <t>Дата документа</t>
  </si>
  <si>
    <t>Срок исполнения назначенный руководителем</t>
  </si>
  <si>
    <t>Контрольный срок</t>
  </si>
  <si>
    <t>Осталось дней</t>
  </si>
  <si>
    <t>Местонахождение</t>
  </si>
  <si>
    <t xml:space="preserve">Дата передачи </t>
  </si>
  <si>
    <t>Статус</t>
  </si>
  <si>
    <t>Примечание</t>
  </si>
  <si>
    <t>Ход исполнения</t>
  </si>
  <si>
    <t>Краткое содержание документа</t>
  </si>
  <si>
    <t xml:space="preserve">Исполнитель </t>
  </si>
  <si>
    <t>Чупрякова А.В.</t>
  </si>
  <si>
    <t>Молодан Ю.А.</t>
  </si>
  <si>
    <t>Черемской Ю.В.</t>
  </si>
  <si>
    <t>Шульга С.А.</t>
  </si>
  <si>
    <t>Баранов И.А.</t>
  </si>
  <si>
    <t>Сухоносенко А.Ю.</t>
  </si>
  <si>
    <t>Посунько С.М.</t>
  </si>
  <si>
    <t>Фролова И.В.</t>
  </si>
  <si>
    <t>Яковлев С.П.</t>
  </si>
  <si>
    <t>Панченко М.В.</t>
  </si>
  <si>
    <t>Бочаров Р.В.</t>
  </si>
  <si>
    <t>Болдырева Т.Н.</t>
  </si>
  <si>
    <t>Макаров А.П.</t>
  </si>
  <si>
    <t>Малков Е.В.</t>
  </si>
  <si>
    <t>Гукалов В.А.</t>
  </si>
  <si>
    <t>Яковлева Т.А.</t>
  </si>
  <si>
    <t>Климчук А.В.</t>
  </si>
  <si>
    <t>Кузичкин А.В.</t>
  </si>
  <si>
    <t>Климову Д.А.</t>
  </si>
  <si>
    <t>Кошелев А.Н.</t>
  </si>
  <si>
    <t>Мещерякова М.А.</t>
  </si>
  <si>
    <t>Валькова А.Е.</t>
  </si>
  <si>
    <t>Примечания</t>
  </si>
  <si>
    <t>Содержание</t>
  </si>
  <si>
    <t>Исполнитель</t>
  </si>
  <si>
    <t>От..</t>
  </si>
  <si>
    <t>Кому…</t>
  </si>
  <si>
    <t>Дата</t>
  </si>
  <si>
    <t>Регистрационный номер</t>
  </si>
  <si>
    <t>Столбец1</t>
  </si>
  <si>
    <t>нет контроля</t>
  </si>
  <si>
    <t>11.01.2016</t>
  </si>
  <si>
    <t>Авдеев С.В.</t>
  </si>
  <si>
    <t>Мишин А.Н.</t>
  </si>
  <si>
    <t>ФГУП "АПК "Воскресенский"</t>
  </si>
  <si>
    <t>Разрешение на размещение Мытищи, Щербакова</t>
  </si>
  <si>
    <t>Азаров В.С.</t>
  </si>
  <si>
    <t>исп.</t>
  </si>
  <si>
    <t>2366-утпипу</t>
  </si>
  <si>
    <t>Комарчев Р.Ю.</t>
  </si>
  <si>
    <t>Тимонин И.В.</t>
  </si>
  <si>
    <t>АО пересвет-Инвест</t>
  </si>
  <si>
    <t>Факты оплаты ЗАО Фрязинская теплосеть…</t>
  </si>
  <si>
    <t>Оввян А.П.</t>
  </si>
  <si>
    <t>ООО "Стэл", личное участие в совещании</t>
  </si>
  <si>
    <t>Администрация сельского поселения Верейское, контроль мероприятий</t>
  </si>
  <si>
    <t>ЗАО ИКС 5 недвижимость</t>
  </si>
  <si>
    <t>г. Балашиха, мкр. 27 , внести уточнения в изменения объектов</t>
  </si>
  <si>
    <t>Парк патриот, договор субаренды с ГУП МО "мособлгаз"</t>
  </si>
  <si>
    <t>2367-утпипу</t>
  </si>
  <si>
    <t>2383</t>
  </si>
  <si>
    <t>Раков А.В.</t>
  </si>
  <si>
    <t>Зам дф филиалов по прочке</t>
  </si>
  <si>
    <t>Вызов сотрудников для проверки документации</t>
  </si>
  <si>
    <t>12.01.2016</t>
  </si>
  <si>
    <t>Тараненко О.Г.</t>
  </si>
  <si>
    <t>Вязанкин С.А.</t>
  </si>
  <si>
    <t>Попов А.М.</t>
  </si>
  <si>
    <t>отв на 558-оид</t>
  </si>
  <si>
    <t>Столбов А.В.</t>
  </si>
  <si>
    <t>Запрос данных для ежеквартального отчета в РЭК</t>
  </si>
  <si>
    <t>направлено по лотус</t>
  </si>
  <si>
    <t>Буздыган О.Е.</t>
  </si>
  <si>
    <t>Факты оплаты авансовых платежей по договорам ТП</t>
  </si>
  <si>
    <t>Запрос информации о доходах и расходах за IV квартал 2015 года.</t>
  </si>
  <si>
    <t>Кирсанов С.В.</t>
  </si>
  <si>
    <t>ООО Премьер инвест, уведомление</t>
  </si>
  <si>
    <t>Ярошенко М. К.</t>
  </si>
  <si>
    <t>Командировка в Тюмень</t>
  </si>
  <si>
    <t>МУП теплосеть, поэтапный график</t>
  </si>
  <si>
    <t>Публикация тарифных ставок</t>
  </si>
  <si>
    <t>исполнение п.2 72-ЗГД</t>
  </si>
  <si>
    <t>ООО "Ролт Моторс", копия договора</t>
  </si>
  <si>
    <t>ГУП МО Ниипроект</t>
  </si>
  <si>
    <t>Савченко Т.В.</t>
  </si>
  <si>
    <t>установка СУПР Макарову Ю.А.</t>
  </si>
  <si>
    <t>13.01.2016</t>
  </si>
  <si>
    <t>Матузов С.В.</t>
  </si>
  <si>
    <t>макаров Ю.А.</t>
  </si>
  <si>
    <t>лотус</t>
  </si>
  <si>
    <t>Запрос разработки схемы газоснабжения и гидравлических расчетов ООО "Небоскреб"</t>
  </si>
  <si>
    <t>Лапин В.В.</t>
  </si>
  <si>
    <t>Рассказову С.С.</t>
  </si>
  <si>
    <t>Столбову А.В.</t>
  </si>
  <si>
    <t>Загрядский А.А.</t>
  </si>
  <si>
    <t>Юрьев Д.Ю.</t>
  </si>
  <si>
    <t>Жиркув Е.И.</t>
  </si>
  <si>
    <t>Руза-воронцово-тетерино прокладка газопровода на территории</t>
  </si>
  <si>
    <t>Павлова А.п.</t>
  </si>
  <si>
    <t>Цэрнэ А.В.</t>
  </si>
  <si>
    <t>ООО Констат ход выполнения мероприятий</t>
  </si>
  <si>
    <t>Ефимов А.А.</t>
  </si>
  <si>
    <t>Лысенко С.А.</t>
  </si>
  <si>
    <t>Тезисы к выступлению от УТПиПУ</t>
  </si>
  <si>
    <t>Чеснокова О.А.</t>
  </si>
  <si>
    <t>Поберей Г.В.</t>
  </si>
  <si>
    <t xml:space="preserve">Информация о количестве поданных и исполненных заявок на подключениеза IV квартал 2015 года по Центральному аппарату ГУП МО "Мособлгаз" </t>
  </si>
  <si>
    <t>14.01.2016</t>
  </si>
  <si>
    <t xml:space="preserve">Зам дф филиалов </t>
  </si>
  <si>
    <t>Назначение работников , ответственных за ведение табл " Миниторинг ТП"</t>
  </si>
  <si>
    <t>outlook</t>
  </si>
  <si>
    <t>Липин В.В.</t>
  </si>
  <si>
    <t>Панкрашкина Т.Ю.</t>
  </si>
  <si>
    <t>НП "Южное порлесье"</t>
  </si>
  <si>
    <t>НП "Южное полесье", оплата</t>
  </si>
  <si>
    <t>Чалику И.П.</t>
  </si>
  <si>
    <t>Луневское, д. Владычинор, №72</t>
  </si>
  <si>
    <t>ООО "шереметьево-4" запрос информации</t>
  </si>
  <si>
    <t>19.01. направить представителя на совещание от Одинцовомежрайгаз</t>
  </si>
  <si>
    <t>ООО "норма", запрос на участие в совещании 19.01</t>
  </si>
  <si>
    <t>Разрешение на размещениег. Ступино, ул. Жданова</t>
  </si>
  <si>
    <t>Ответ на исх. № 2321-УТПиПУ Комитет имущественных и земельных отношений Администрации г. Подольска.</t>
  </si>
  <si>
    <t>Валов А.В,</t>
  </si>
  <si>
    <t>ООО "КСК-инвест"</t>
  </si>
  <si>
    <t>изменение в номенклатуру дел</t>
  </si>
  <si>
    <t>ООО "АВД Логистика" , принять РД</t>
  </si>
  <si>
    <t>1С</t>
  </si>
  <si>
    <t>ООО "ТИРОС-Инвест" изменения в ТУ</t>
  </si>
  <si>
    <t>15.01.2016</t>
  </si>
  <si>
    <t>Проект соглашения об установлении сервитута, парк патриот</t>
  </si>
  <si>
    <t>Челпан П.И.</t>
  </si>
  <si>
    <t>Орлов А.Б.</t>
  </si>
  <si>
    <t>Дворников С.В.</t>
  </si>
  <si>
    <t>ООО "Еремиас Рус"</t>
  </si>
  <si>
    <t>Публикация Распоряжений</t>
  </si>
  <si>
    <t>Изменения в существующую настройку входящих вызовов</t>
  </si>
  <si>
    <t>ООО "КСК-инвест" проинформировать о решении</t>
  </si>
  <si>
    <t>АО СФК Реутов</t>
  </si>
  <si>
    <t>Колпакову А.С.</t>
  </si>
  <si>
    <t>согласование проходждения трассы по участкам принадлежам Управлению делами президента</t>
  </si>
  <si>
    <t>18.01.2016</t>
  </si>
  <si>
    <t>Запрос разрешения на разработку "Дом рыбака"</t>
  </si>
  <si>
    <t>Дудочкин В.Е.</t>
  </si>
  <si>
    <t>Щипцов И.В.</t>
  </si>
  <si>
    <t>Байдукову Г.А.</t>
  </si>
  <si>
    <t>Агеев В.С.</t>
  </si>
  <si>
    <t>ООО "ДСК Град"</t>
  </si>
  <si>
    <t>ДНТ "Инициатива" сз на савченко Т.В. Доверенность для Павловой А.П.</t>
  </si>
  <si>
    <t>Продление ТУ г Нарофоминск Р=Профсоюзная д 36</t>
  </si>
  <si>
    <t>АОЗТ "Колычево"</t>
  </si>
  <si>
    <t>Донцову Ф.В.</t>
  </si>
  <si>
    <t>Денежниково, приемка объкта</t>
  </si>
  <si>
    <t>Ответ на сз от 19.11.2016 б/н (запрос счетов-фактур ООО "Контактгазсервис". ООО "Газстроймонтаж", ЗАО "Мосинтерм")</t>
  </si>
  <si>
    <t>Бородин Ю.Д.</t>
  </si>
  <si>
    <t>г. Ступино ул. Крылова разрешение на размещение</t>
  </si>
  <si>
    <t>Мамонова Е.А.</t>
  </si>
  <si>
    <t>Ежокину М.А.</t>
  </si>
  <si>
    <t>Михайлику А.Г.</t>
  </si>
  <si>
    <t>Запрос информации по тП за 12 месяцев 2015 г</t>
  </si>
  <si>
    <t>Зам дф по прочей деятельности</t>
  </si>
  <si>
    <t>Дроздов А.А.</t>
  </si>
  <si>
    <t>Виасан-энергия</t>
  </si>
  <si>
    <t>ООО " сервис управления и консалтинг"</t>
  </si>
  <si>
    <t>Назначение участников рабочей комиссии</t>
  </si>
  <si>
    <t xml:space="preserve">Запрос на подписание актов </t>
  </si>
  <si>
    <t>Факты оплаты (Карат-ю, Еремиас Рус…)</t>
  </si>
  <si>
    <t>ООО Биз Фрутс контроль мероприятий</t>
  </si>
  <si>
    <t>19.01.2016</t>
  </si>
  <si>
    <t>Фонд РЖС инфомация запрос</t>
  </si>
  <si>
    <t>г. черноголовка Фонд РЖС , информация о возможности ТП</t>
  </si>
  <si>
    <t>Согласование проектной документации Ермолинское, вблизи д. Кашино</t>
  </si>
  <si>
    <t>парфенов В.В.</t>
  </si>
  <si>
    <t>Иоффе Т.В.</t>
  </si>
  <si>
    <t>Совещание по договору № 5152 Жуковский</t>
  </si>
  <si>
    <t>Эйдельман И.И.</t>
  </si>
  <si>
    <t>ООО "Универсальный логистический комплекс"</t>
  </si>
  <si>
    <t>Памятные подарки представителям "ООО "Газпром межрегионгаз Север"</t>
  </si>
  <si>
    <t>Пугачев А.В.</t>
  </si>
  <si>
    <t>Домбровский С.В.</t>
  </si>
  <si>
    <t xml:space="preserve">ЗАО Мосинтерм </t>
  </si>
  <si>
    <t>Ковалев А.А.</t>
  </si>
  <si>
    <t>20.01.2016</t>
  </si>
  <si>
    <t>СНТ "Истра" дать поручение соответствующему структурному подразделению направить Заявителю рекомендации.</t>
  </si>
  <si>
    <t>Толпыго З.Н.</t>
  </si>
  <si>
    <t>Боева Н.М.</t>
  </si>
  <si>
    <t>ООО "Каскад" , ООО "Деметра групп" поставить на контроль мероприятия</t>
  </si>
  <si>
    <t>Хрящеву А.А.</t>
  </si>
  <si>
    <t>ООО "Терра ДИ инканти", график выполнения работ</t>
  </si>
  <si>
    <t>21.01.2016</t>
  </si>
  <si>
    <t>ДНП "родник", ДНП "Лесная Богемия" подготовка схем газоснабжения</t>
  </si>
  <si>
    <t>Факты оплаты (ООО Багратион, Хайгейт, Рексам…)</t>
  </si>
  <si>
    <t>ООО "Техальянс" организация и выполнение работ по подключению</t>
  </si>
  <si>
    <t>22.01.2016</t>
  </si>
  <si>
    <t>Мурашов В.С.</t>
  </si>
  <si>
    <t>совхоз Астапово</t>
  </si>
  <si>
    <t>ООО "Горстрой</t>
  </si>
  <si>
    <t>Подольский Е.М.</t>
  </si>
  <si>
    <t>Горовой В.Е.</t>
  </si>
  <si>
    <t>ООО "Экко-Рос"</t>
  </si>
  <si>
    <t>Штопель И.Э.</t>
  </si>
  <si>
    <t>Пугин А.М.</t>
  </si>
  <si>
    <t>Разрешение на размещение Ступинский район, д. Шматово</t>
  </si>
  <si>
    <t>Администрация Одинцовского муниципального района ДОГОВОР 4451 ГРАФИК ВЫПОЛНЕНИЯ РАБОТ</t>
  </si>
  <si>
    <t>Абасс О.Б.</t>
  </si>
  <si>
    <t>Хрящев А.А.</t>
  </si>
  <si>
    <t>Информация о размере расходов, содержащихся в стандартизированных тарифных ставках С1 и С2 в части кадастровых и землеустроительных работ.</t>
  </si>
  <si>
    <t>Пушина И.Л.</t>
  </si>
  <si>
    <t>Федоренкова Т.С.</t>
  </si>
  <si>
    <t>ООО "Стройтэкс"</t>
  </si>
  <si>
    <t>плетушков С.Ю.</t>
  </si>
  <si>
    <t>Шкафы картотечные</t>
  </si>
  <si>
    <t>25.01.2016</t>
  </si>
  <si>
    <t>ПМ Янушкевич. Балашиха, мкр. 27 согласование полигона</t>
  </si>
  <si>
    <t>Кондратьев Я.И.</t>
  </si>
  <si>
    <t>ОАО "Мосгаз" запрос минимального расчетного давления</t>
  </si>
  <si>
    <t>Колосков Ю.Е.</t>
  </si>
  <si>
    <t>Маевский М.Г.</t>
  </si>
  <si>
    <t>ООО "геосфера" согласование подрядчика</t>
  </si>
  <si>
    <t>ООО "Геоцентр Южный" согласование подрядчика</t>
  </si>
  <si>
    <t>ООО "Строй Чибис Т", нет документов, подтверждающих ход выполнения работ</t>
  </si>
  <si>
    <t>ООО "Мастер Хауз" расторжение договора</t>
  </si>
  <si>
    <t>Колесов Т.Г.</t>
  </si>
  <si>
    <t>ООО "Георесурс"</t>
  </si>
  <si>
    <t>Сирица И,В.</t>
  </si>
  <si>
    <t>Филин А.Б. письмо в администрацию</t>
  </si>
  <si>
    <t>Грибинюченко С.М.</t>
  </si>
  <si>
    <t>совхоз им. Ленина ОАО "Москокс" согласование земель</t>
  </si>
  <si>
    <t>Регистрация права собственности объекта по адресу МО поселение Атепцевское, вблизи деревни котово</t>
  </si>
  <si>
    <t>Цыганкову А.М.</t>
  </si>
  <si>
    <t>Претензия Цыганкова А.М.</t>
  </si>
  <si>
    <t>архив ТП</t>
  </si>
  <si>
    <t>Претензия Толпыго З.Н.</t>
  </si>
  <si>
    <t>администрация серпуховского муниципального района запрос оплаты</t>
  </si>
  <si>
    <t>Разрешение на размещение мкр салтыковка, ул. Чапаева</t>
  </si>
  <si>
    <t>По вопросу развития сетей газоснабжения на территории пос. Кленовское в г. Москве.</t>
  </si>
  <si>
    <t>ООО "Рексам" контроль мероприятий</t>
  </si>
  <si>
    <t>26.01.2016</t>
  </si>
  <si>
    <t>ООО "Карат-Ю" контроль мергоприятий</t>
  </si>
  <si>
    <t>Жирков Е.И.</t>
  </si>
  <si>
    <t>ЗАО мосинтерм согласовать подрядчика ООО Геоперспектива</t>
  </si>
  <si>
    <t>Шмидке И.С.</t>
  </si>
  <si>
    <t>Белан С.Г.</t>
  </si>
  <si>
    <t>Письменский В.А.</t>
  </si>
  <si>
    <t>Вуколову С.А.</t>
  </si>
  <si>
    <t>Павло-слободское, д. Ивановкское ТСН "Ивановское истра"</t>
  </si>
  <si>
    <t>исполнение п. 2 72-ЗГД, проведение проверки на соответствие квалификационным требованиям подрядных организаций</t>
  </si>
  <si>
    <t>выставление счета на оплату ОАО "хлебпром"</t>
  </si>
  <si>
    <t>ООО "Бригантина (подрядня организация ООО "первая газовая компания" внесение изменений в ТУ</t>
  </si>
  <si>
    <t>Оказать содействие в определении причины задержки сроков предоставления подписанных бланков ТУ ОА "Пересвет-Инвест".</t>
  </si>
  <si>
    <t>Замена кресла Кирсанова С.В.</t>
  </si>
  <si>
    <t>во исполнение 2-ЗГД назначить ответственных лиц по выполнению земельно-кадастровых работ</t>
  </si>
  <si>
    <t>Запрос схем газоснабжения для подготовки договора о подключении ДПК "Лыщево", ДПК "Ушаковские дачи-2" ,ДПК "Озерный край-2"</t>
  </si>
  <si>
    <t>Предложения по итогам презентации програмного комплекса "Система обработки обращений"</t>
  </si>
  <si>
    <t>ООО "РП Жуковский"ООО "Универсальный логистический комплекс" совмещение договоров о подключении</t>
  </si>
  <si>
    <t>Распечатка о времени входа и выхода из здания Тараненко О.Г., павлова А.П. Скачкова С.В.</t>
  </si>
  <si>
    <t>27.01.2016</t>
  </si>
  <si>
    <t>Попов А.Д.</t>
  </si>
  <si>
    <t>Разрешение на размещение нефтеперекачивающей станции "Коломна"</t>
  </si>
  <si>
    <t>ответ Авдееву С.В.</t>
  </si>
  <si>
    <t>6234-УТПипУ</t>
  </si>
  <si>
    <t>Документы, подтверждающие ход выполнения отдельных этапов работ по объектам (Г.о. черноголовка, Ремиханов, Гранд…)</t>
  </si>
  <si>
    <t>ООО "СПМК Магистраль" просьба о согласовании ООО "ГеоЭкоСтройАнализ" в качестве подрядной организации</t>
  </si>
  <si>
    <t>Запрос информации о количестве заключенных договоров  за период с 01.01.2016-31.12.2015</t>
  </si>
  <si>
    <t>ООО "СПМК Магистраль" просит согласовать ООО "Референс" в качестве подрядной организации</t>
  </si>
  <si>
    <t>ООО "УИР-701" ускорение работ</t>
  </si>
  <si>
    <t>ООО "Хайгейт" постановка на контроль мероприятий</t>
  </si>
  <si>
    <t>Планшеты, выдать сим карты</t>
  </si>
  <si>
    <t>28.01.2016</t>
  </si>
  <si>
    <t>ответ на обращение Крюковой С.Ю.</t>
  </si>
  <si>
    <t>зам ДФ филиалов</t>
  </si>
  <si>
    <t>Зам. Директоров филиалов ГУП МО "Мособлгаз" по прочей деятельность</t>
  </si>
  <si>
    <t>исполнение п. 2 протокола 72-ЗГД прошу направить в УТПиПУ сотрудника филиала ответственного за исполнение указанного решения</t>
  </si>
  <si>
    <t>Счет на оплату ДНП "Форест"</t>
  </si>
  <si>
    <t>Рекомендации для подготовки ТУ</t>
  </si>
  <si>
    <t>ООО "Флагман" запрос о рассмотрении новых ТУ</t>
  </si>
  <si>
    <t xml:space="preserve">направить в УТПипУ на обучение Нурбаева, Бельц, </t>
  </si>
  <si>
    <t>ПМ "янушкевич" согласование ООО "Румб" в качестве подрядной организации</t>
  </si>
  <si>
    <t>Парк патриот ООО "УИР 701"</t>
  </si>
  <si>
    <t>п. Лесной вблизи ул. Советская, оказать содействие  в подписании акта сверки предприятия</t>
  </si>
  <si>
    <t>29.01.2016</t>
  </si>
  <si>
    <t>01.02.2016</t>
  </si>
  <si>
    <t>ООО "резиденция -инжиниринг  сервис консалтинг реконструкция и администрирование" согласование ООО !Центр геопартнер", как подрядной организации</t>
  </si>
  <si>
    <t>Фетисова Е.В.</t>
  </si>
  <si>
    <t>ДНП "Окские луга", поставить на контроль мероприятия</t>
  </si>
  <si>
    <t>ООО "Лобеллия" до 12.02.2016 предоставить поэтапный график выполнения работ</t>
  </si>
  <si>
    <t>СПК "Солнечный остров" до 12.02.2016 предоставить поэтапный график выполнения работ</t>
  </si>
  <si>
    <t xml:space="preserve">Доверенность на Егорову Н.Н. </t>
  </si>
  <si>
    <t>ООО "Заречье" ООО "Интерьер-Дизайн-Проект" рассмотрение возможности выдачу ТУ с учетом корректировки диаметра газопровода-источника</t>
  </si>
  <si>
    <t>АО "Сергиево-Посадская Электросеть" рассмотрение возможности внесения изменения в ТУ от 20.11.2014 №5579-67/3</t>
  </si>
  <si>
    <t>Проведение экспертизы проекта освоения лесов</t>
  </si>
  <si>
    <t>Мигунов А.В.</t>
  </si>
  <si>
    <t>ООО "НТЦ-ХХI" доп согл</t>
  </si>
  <si>
    <t>ООО "Дельфин Логистик" постановка на контроль мероприятий</t>
  </si>
  <si>
    <t>Сирица И.В.</t>
  </si>
  <si>
    <t>Проекты тех заданий и графики производства работ к ним от в на 586-оид</t>
  </si>
  <si>
    <t>Администрация сельскоского поселения Волковское выставить счет на оплату по договору 2826</t>
  </si>
  <si>
    <t>Проурзин В.А.</t>
  </si>
  <si>
    <t>Рассмотрение графиков производства работ ПИР и СМР, а также проектов писем.</t>
  </si>
  <si>
    <t>Зам директоров филиалов по прочей деятельности</t>
  </si>
  <si>
    <t>Дугин А.А.</t>
  </si>
  <si>
    <t>ООО "РП Жуковский"плата за сервитут</t>
  </si>
  <si>
    <t>Сыркин Р.И.</t>
  </si>
  <si>
    <t>Лаушкина С.В.</t>
  </si>
  <si>
    <t>02.02.2016</t>
  </si>
  <si>
    <t>Иозефович Д.Л.</t>
  </si>
  <si>
    <t>ООО "Альянс" изменение номера кадастрового участка</t>
  </si>
  <si>
    <t>Евтушевский И.В.</t>
  </si>
  <si>
    <t xml:space="preserve">ООО "Мегагород" </t>
  </si>
  <si>
    <t>Парк "Патриот" замечания к проектной документации</t>
  </si>
  <si>
    <t>Уточнение возможности ТП объектов ООО "Опторг"</t>
  </si>
  <si>
    <t>привлечение ООО "Геоперспектива"</t>
  </si>
  <si>
    <t>АОР "КРМО"</t>
  </si>
  <si>
    <t>Возможность включения в программу газификации индустриальных парков , наладить взаимодействие с заявителем</t>
  </si>
  <si>
    <t xml:space="preserve">Запрос оказания содействия в определение технической возможности подключения и возможного источника газоснабжения по адресу: Луховицкий район, с.п. Астаповское. С. Городна ул. Паркова </t>
  </si>
  <si>
    <t>Запрос оказания содействия в определение технической возможности подключения и возможного источника газоснабжения по адресу: Луховицкий район, п. орешково, ул. Сиреневая, уч. 31</t>
  </si>
  <si>
    <t>03.02.2016</t>
  </si>
  <si>
    <t>Лапин В.В., Проурзин В.А.</t>
  </si>
  <si>
    <t>ООО "Авантель-Инвест" оказание содействия в рассмотрении мотивированного отказа и подготовке ответа заявителю.</t>
  </si>
  <si>
    <t>Тюленев А.В.</t>
  </si>
  <si>
    <t>Запрос проработки с указанными в письме ассоциациями коммерческую составляющую планируемого к реализации проекта (АСТ "БеЛь").</t>
  </si>
  <si>
    <t>Поселок Ильинское-Усово предварительный размер платы</t>
  </si>
  <si>
    <t>Талдомский район, д. Бельское</t>
  </si>
  <si>
    <t>Морелли Р.М.</t>
  </si>
  <si>
    <t>ООО "Есипово", расторжение или продление договора</t>
  </si>
  <si>
    <t>ДНП Дали внесение изменений в схему газоснабжения</t>
  </si>
  <si>
    <t>согласование топосъемки Домодево Центрдорстрой</t>
  </si>
  <si>
    <t>ООО "Компание Металл Профиль" акт сверки</t>
  </si>
  <si>
    <t>Серпухов ул. 5 Борисовская согласование схемы трассы и согласие на размещение</t>
  </si>
  <si>
    <t>Факты оплаты  ОО ПСК</t>
  </si>
  <si>
    <t>Сокольская А.Д.</t>
  </si>
  <si>
    <t>Разрешение на размещение д. Решоткино</t>
  </si>
  <si>
    <t>Иванова О.Н.</t>
  </si>
  <si>
    <t>Ответ на сз от 02.02.2016 разъяснение по закупочной документации</t>
  </si>
  <si>
    <t>открытие в системе АС Бюджетирование КСБ 773250</t>
  </si>
  <si>
    <t>04.02.2016</t>
  </si>
  <si>
    <t>Романцоы С.А.</t>
  </si>
  <si>
    <t>Докуметы для проведения проверки на соответствиен квалификационным требованиям (ЗАО "КОТЛОСЕРВИС"…)</t>
  </si>
  <si>
    <t>ОАО "Герофарм-Био" разрешение на оплату</t>
  </si>
  <si>
    <t>Мельников А.Ю.</t>
  </si>
  <si>
    <t>ТСН Ивановское Истра выставление счета  на оплату</t>
  </si>
  <si>
    <t>Внести изменения в типовую форму договора</t>
  </si>
  <si>
    <t>Оборудование рабочего места Сухоносенко А.Ю. настольным сканером</t>
  </si>
  <si>
    <t>Чулкин Ю.А.</t>
  </si>
  <si>
    <t>мероприятия по реализации стратегии клиентоориентирования</t>
  </si>
  <si>
    <t>Ченышев В.</t>
  </si>
  <si>
    <t>Ушаков А.В.</t>
  </si>
  <si>
    <t xml:space="preserve">запрос Слоновой Т.П. </t>
  </si>
  <si>
    <t>лебедев М.Р.</t>
  </si>
  <si>
    <t>Изготовление брошюр "ТП малого бизнеса"</t>
  </si>
  <si>
    <t>Согласование схемы прохождения трассы ТСН "Дворянское озеро"</t>
  </si>
  <si>
    <t>Пропалова О.Н.</t>
  </si>
  <si>
    <t>Изменение ТУ СНТ "Матвеевка"</t>
  </si>
  <si>
    <t>Начальникам СТПиПУ</t>
  </si>
  <si>
    <t>В срок до 12 февраля запросить информацию</t>
  </si>
  <si>
    <t>Доверенность на Заместителей директоров филиалов на право подписи схем границ земель или части земельного участка.</t>
  </si>
  <si>
    <t>Копия обращения ООО "М2-Подольск" (для ознакомления)</t>
  </si>
  <si>
    <t>05.02.2016</t>
  </si>
  <si>
    <t>Романова Е.С.</t>
  </si>
  <si>
    <t>Цуровцева Н.В.</t>
  </si>
  <si>
    <t>Разрешение на размещение ДНТ "Дворянское озеро"</t>
  </si>
  <si>
    <t>Афанасьев И.В.</t>
  </si>
  <si>
    <t>Запрос рассмотрения сметной документации</t>
  </si>
  <si>
    <t>Дата поступления</t>
  </si>
  <si>
    <t>передано Мамоновой Е. А.</t>
  </si>
  <si>
    <t>От кого (от куда) поступил документ</t>
  </si>
  <si>
    <t>25.01.2021</t>
  </si>
  <si>
    <t>От меня</t>
  </si>
  <si>
    <t>МЭ-1220</t>
  </si>
  <si>
    <t>Краткое содержание</t>
  </si>
  <si>
    <t>Сухоносенко</t>
  </si>
  <si>
    <t xml:space="preserve">Сухоносенко А.Ю.   25.01.2021   </t>
  </si>
  <si>
    <t>примечание</t>
  </si>
  <si>
    <t>Иванов В.В.</t>
  </si>
  <si>
    <t>МЭ-1313</t>
  </si>
  <si>
    <t>30.06.2021</t>
  </si>
  <si>
    <t>Причечания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</si>
</sst>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4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9"/>
      <color theme="8" tint="-0.499984740745262"/>
      <name val="Times New Roman"/>
      <family val="1"/>
      <charset val="204"/>
    </font>
    <font>
      <sz val="9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4800C"/>
        <bgColor indexed="64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/>
      </right>
      <top style="thin">
        <color indexed="6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5">
    <xf numFmtId="0" fontId="0" fillId="0" borderId="0" xfId="0"/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1" fontId="5" fillId="0" borderId="0" xfId="0" applyNumberFormat="1" applyFont="1" applyFill="1" applyAlignment="1">
      <alignment horizontal="center" vertical="center" wrapText="1"/>
    </xf>
    <xf numFmtId="0" fontId="0" fillId="0" borderId="7" xfId="2" applyNumberFormat="1" applyFont="1" applyFill="1" applyBorder="1" applyAlignment="1">
      <alignment horizontal="center" vertical="center" wrapText="1"/>
    </xf>
    <xf numFmtId="0" fontId="0" fillId="0" borderId="8" xfId="2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14" fontId="7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14" fontId="4" fillId="0" borderId="0" xfId="0" applyNumberFormat="1" applyFont="1" applyFill="1" applyAlignment="1">
      <alignment horizontal="center" vertical="center" wrapText="1"/>
    </xf>
    <xf numFmtId="14" fontId="6" fillId="0" borderId="0" xfId="0" applyNumberFormat="1" applyFont="1" applyFill="1" applyBorder="1" applyAlignment="1">
      <alignment horizontal="center" vertical="center" wrapText="1"/>
    </xf>
    <xf numFmtId="14" fontId="6" fillId="0" borderId="0" xfId="0" applyNumberFormat="1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49" fontId="6" fillId="0" borderId="0" xfId="0" applyNumberFormat="1" applyFont="1" applyFill="1" applyAlignment="1">
      <alignment horizontal="center" vertical="center" wrapText="1"/>
    </xf>
    <xf numFmtId="0" fontId="6" fillId="0" borderId="0" xfId="0" applyNumberFormat="1" applyFont="1" applyFill="1" applyAlignment="1">
      <alignment horizontal="center" vertical="center" wrapText="1"/>
    </xf>
    <xf numFmtId="14" fontId="6" fillId="0" borderId="0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4" fontId="6" fillId="0" borderId="0" xfId="0" applyNumberFormat="1" applyFont="1" applyAlignment="1">
      <alignment horizontal="center" vertical="center" wrapText="1"/>
    </xf>
    <xf numFmtId="0" fontId="6" fillId="0" borderId="0" xfId="0" applyNumberFormat="1" applyFont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0" fontId="9" fillId="0" borderId="8" xfId="2" applyNumberFormat="1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4" fontId="10" fillId="0" borderId="0" xfId="0" applyNumberFormat="1" applyFont="1" applyFill="1" applyAlignment="1">
      <alignment horizontal="center" vertical="center" wrapText="1"/>
    </xf>
    <xf numFmtId="0" fontId="4" fillId="0" borderId="7" xfId="2" applyNumberFormat="1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4" fontId="10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6" fillId="0" borderId="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11" fillId="0" borderId="0" xfId="0" applyFont="1" applyFill="1" applyBorder="1" applyAlignment="1">
      <alignment horizontal="center" vertical="center" wrapText="1"/>
    </xf>
    <xf numFmtId="14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14" fontId="11" fillId="2" borderId="2" xfId="0" applyNumberFormat="1" applyFont="1" applyFill="1" applyBorder="1" applyAlignment="1">
      <alignment horizontal="center" vertical="center" wrapText="1"/>
    </xf>
    <xf numFmtId="1" fontId="11" fillId="0" borderId="1" xfId="0" applyNumberFormat="1" applyFont="1" applyFill="1" applyBorder="1" applyAlignment="1">
      <alignment horizontal="center" vertical="center" wrapText="1"/>
    </xf>
    <xf numFmtId="14" fontId="11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/>
  </cellXfs>
  <cellStyles count="3">
    <cellStyle name="Обычный" xfId="0" builtinId="0"/>
    <cellStyle name="Обычный 2" xfId="1" xr:uid="{00000000-0005-0000-0000-000002000000}"/>
    <cellStyle name="Обычный 2 2" xfId="2" xr:uid="{00000000-0005-0000-0000-000003000000}"/>
  </cellStyles>
  <dxfs count="56">
    <dxf>
      <font>
        <b/>
        <i val="0"/>
        <strike val="0"/>
        <outline val="0"/>
        <shadow val="0"/>
        <u val="none"/>
        <vertAlign val="baseline"/>
        <sz val="10"/>
        <name val="Times New Roman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auto="1"/>
        <name val="Calibri"/>
        <scheme val="minor"/>
      </font>
      <alignment textRotation="0" wrapText="1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alignment textRotation="0" wrapText="1" justifyLastLine="0" shrinkToFit="0" readingOrder="0"/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0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8" tint="-0.499984740745262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bgColor auto="1"/>
        </patternFill>
      </fill>
    </dxf>
    <dxf>
      <font>
        <color theme="8"/>
      </font>
      <fill>
        <patternFill>
          <bgColor rgb="FFF4800C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TableStyle="TableStyleMedium2" defaultPivotStyle="PivotStyleLight16">
    <tableStyle name="Стиль таблицы 1" pivot="0" count="3" xr9:uid="{00000000-0011-0000-FFFF-FFFF00000000}">
      <tableStyleElement type="wholeTable" dxfId="55"/>
      <tableStyleElement type="headerRow" dxfId="54"/>
      <tableStyleElement type="firstColumnStripe" dxfId="53"/>
    </tableStyle>
  </tableStyles>
  <colors>
    <mruColors>
      <color rgb="FFF4800C"/>
      <color rgb="FFF38C25"/>
      <color rgb="FFD1DF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A1:N21" headerRowDxfId="52" dataDxfId="51" totalsRowDxfId="49" tableBorderDxfId="50">
  <autoFilter ref="A1:N21" xr:uid="{00000000-0009-0000-0100-000003000000}"/>
  <tableColumns count="14">
    <tableColumn id="1" xr3:uid="{00000000-0010-0000-0000-000001000000}" name="От кого (от куда) поступил документ" totalsRowLabel="Итог" dataDxfId="48" totalsRowDxfId="47"/>
    <tableColumn id="2" xr3:uid="{00000000-0010-0000-0000-000002000000}" name="Дата поступления" dataDxfId="46" totalsRowDxfId="45"/>
    <tableColumn id="3" xr3:uid="{00000000-0010-0000-0000-000003000000}" name="Регистрационный номер" totalsRowFunction="count" dataDxfId="44" totalsRowDxfId="43"/>
    <tableColumn id="4" xr3:uid="{00000000-0010-0000-0000-000004000000}" name="Дата документа" dataDxfId="42" totalsRowDxfId="41"/>
    <tableColumn id="5" xr3:uid="{00000000-0010-0000-0000-000005000000}" name="Краткое содержание документа" dataDxfId="40" totalsRowDxfId="39"/>
    <tableColumn id="7" xr3:uid="{00000000-0010-0000-0000-000007000000}" name="Контрольный срок" dataDxfId="38" totalsRowDxfId="37"/>
    <tableColumn id="6" xr3:uid="{00000000-0010-0000-0000-000006000000}" name="Срок исполнения назначенный руководителем" dataDxfId="36" totalsRowDxfId="35"/>
    <tableColumn id="8" xr3:uid="{00000000-0010-0000-0000-000008000000}" name="Осталось дней" dataDxfId="0" totalsRowDxfId="34">
      <calculatedColumnFormula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calculatedColumnFormula>
    </tableColumn>
    <tableColumn id="9" xr3:uid="{00000000-0010-0000-0000-000009000000}" name="Исполнитель " dataDxfId="33" totalsRowDxfId="32"/>
    <tableColumn id="10" xr3:uid="{00000000-0010-0000-0000-00000A000000}" name="Местонахождение" dataDxfId="31" totalsRowDxfId="30"/>
    <tableColumn id="11" xr3:uid="{00000000-0010-0000-0000-00000B000000}" name="Дата передачи " dataDxfId="29" totalsRowDxfId="28"/>
    <tableColumn id="13" xr3:uid="{00000000-0010-0000-0000-00000D000000}" name="Примечание" totalsRowFunction="count" dataDxfId="27" totalsRowDxfId="26"/>
    <tableColumn id="12" xr3:uid="{00000000-0010-0000-0000-00000C000000}" name="Статус" dataDxfId="25" totalsRowDxfId="24"/>
    <tableColumn id="15" xr3:uid="{00000000-0010-0000-0000-00000F000000}" name="Ход исполнения" dataDxfId="23" totalsRowDxfId="2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Таблица4" displayName="Таблица4" ref="B1:J187" totalsRowShown="0" headerRowDxfId="21" dataDxfId="20" totalsRowDxfId="18" tableBorderDxfId="19">
  <autoFilter ref="B1:J187" xr:uid="{00000000-0009-0000-0100-000004000000}"/>
  <tableColumns count="9">
    <tableColumn id="1" xr3:uid="{00000000-0010-0000-0200-000001000000}" name="Исполнитель" dataDxfId="17" totalsRowDxfId="16"/>
    <tableColumn id="2" xr3:uid="{00000000-0010-0000-0200-000002000000}" name="От.." dataDxfId="15" totalsRowDxfId="14"/>
    <tableColumn id="3" xr3:uid="{00000000-0010-0000-0200-000003000000}" name="Кому…" dataDxfId="13" totalsRowDxfId="12"/>
    <tableColumn id="4" xr3:uid="{00000000-0010-0000-0200-000004000000}" name="Содержание" dataDxfId="11" totalsRowDxfId="10"/>
    <tableColumn id="5" xr3:uid="{00000000-0010-0000-0200-000005000000}" name="Местонахождение" dataDxfId="9" totalsRowDxfId="8"/>
    <tableColumn id="6" xr3:uid="{00000000-0010-0000-0200-000006000000}" name="Дата" dataDxfId="7" totalsRowDxfId="6"/>
    <tableColumn id="7" xr3:uid="{00000000-0010-0000-0200-000007000000}" name="Регистрационный номер" dataDxfId="5" totalsRowDxfId="4">
      <calculatedColumnFormula>CONCATENATE(J2,"-утпипу")</calculatedColumnFormula>
    </tableColumn>
    <tableColumn id="8" xr3:uid="{00000000-0010-0000-0200-000008000000}" name="Примечания" dataDxfId="3" totalsRowDxfId="2"/>
    <tableColumn id="9" xr3:uid="{00000000-0010-0000-0200-000009000000}" name="Столбец1" totalsRowDxfId="1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O1047694"/>
  <sheetViews>
    <sheetView tabSelected="1" topLeftCell="A17" zoomScaleNormal="100" workbookViewId="0">
      <selection activeCell="A21" sqref="A21:N21"/>
    </sheetView>
  </sheetViews>
  <sheetFormatPr defaultRowHeight="14.5" x14ac:dyDescent="0.35"/>
  <cols>
    <col min="1" max="1" width="11.36328125" style="23" customWidth="1"/>
    <col min="2" max="2" width="14.36328125" style="24" customWidth="1"/>
    <col min="3" max="3" width="14.6328125" style="25" customWidth="1"/>
    <col min="4" max="4" width="14.36328125" style="23" customWidth="1"/>
    <col min="5" max="5" width="36.36328125" style="23" customWidth="1"/>
    <col min="6" max="7" width="14.36328125" style="23" customWidth="1"/>
    <col min="8" max="8" width="14.36328125" style="26" customWidth="1"/>
    <col min="9" max="9" width="14.36328125" style="23" customWidth="1"/>
    <col min="10" max="10" width="15.08984375" style="23" customWidth="1"/>
    <col min="11" max="11" width="14.36328125" style="23" customWidth="1"/>
    <col min="12" max="12" width="14.36328125" style="19" customWidth="1"/>
    <col min="13" max="13" width="14.36328125" style="36" customWidth="1"/>
    <col min="14" max="14" width="14.36328125" style="19" customWidth="1"/>
    <col min="15" max="15" width="16.36328125" style="19" customWidth="1"/>
    <col min="20" max="20" width="13.453125" customWidth="1"/>
  </cols>
  <sheetData>
    <row r="1" spans="1:14" s="44" customFormat="1" ht="46" x14ac:dyDescent="0.3">
      <c r="A1" s="37" t="s">
        <v>365</v>
      </c>
      <c r="B1" s="38" t="s">
        <v>363</v>
      </c>
      <c r="C1" s="39" t="s">
        <v>39</v>
      </c>
      <c r="D1" s="40" t="s">
        <v>0</v>
      </c>
      <c r="E1" s="40" t="s">
        <v>9</v>
      </c>
      <c r="F1" s="40" t="s">
        <v>2</v>
      </c>
      <c r="G1" s="41" t="s">
        <v>1</v>
      </c>
      <c r="H1" s="42" t="s">
        <v>3</v>
      </c>
      <c r="I1" s="40" t="s">
        <v>10</v>
      </c>
      <c r="J1" s="40" t="s">
        <v>4</v>
      </c>
      <c r="K1" s="38" t="s">
        <v>5</v>
      </c>
      <c r="L1" s="37" t="s">
        <v>7</v>
      </c>
      <c r="M1" s="37" t="s">
        <v>6</v>
      </c>
      <c r="N1" s="43" t="s">
        <v>8</v>
      </c>
    </row>
    <row r="2" spans="1:14" ht="39" x14ac:dyDescent="0.35">
      <c r="A2" s="17" t="s">
        <v>367</v>
      </c>
      <c r="B2" s="17" t="s">
        <v>366</v>
      </c>
      <c r="C2" s="21" t="s">
        <v>368</v>
      </c>
      <c r="D2" s="17" t="s">
        <v>366</v>
      </c>
      <c r="E2" s="18" t="s">
        <v>369</v>
      </c>
      <c r="F2" s="17" t="s">
        <v>41</v>
      </c>
      <c r="G2" s="17">
        <v>44211</v>
      </c>
      <c r="H2" s="7" t="str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Исполнено</v>
      </c>
      <c r="I2" s="20" t="s">
        <v>370</v>
      </c>
      <c r="J2" s="18" t="s">
        <v>16</v>
      </c>
      <c r="K2" s="17" t="s">
        <v>366</v>
      </c>
      <c r="L2" s="16" t="s">
        <v>372</v>
      </c>
      <c r="M2" s="17">
        <v>2</v>
      </c>
      <c r="N2" s="14" t="s">
        <v>371</v>
      </c>
    </row>
    <row r="3" spans="1:14" ht="39" x14ac:dyDescent="0.35">
      <c r="A3" s="17" t="s">
        <v>367</v>
      </c>
      <c r="B3" s="17" t="s">
        <v>366</v>
      </c>
      <c r="C3" s="21" t="s">
        <v>368</v>
      </c>
      <c r="D3" s="17" t="s">
        <v>366</v>
      </c>
      <c r="E3" s="18" t="s">
        <v>369</v>
      </c>
      <c r="F3" s="17">
        <v>44225</v>
      </c>
      <c r="G3" s="17"/>
      <c r="H3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4</v>
      </c>
      <c r="I3" s="20" t="s">
        <v>370</v>
      </c>
      <c r="J3" s="18" t="s">
        <v>16</v>
      </c>
      <c r="K3" s="17" t="s">
        <v>366</v>
      </c>
      <c r="L3" s="16" t="s">
        <v>372</v>
      </c>
      <c r="M3" s="18"/>
      <c r="N3" s="14" t="s">
        <v>371</v>
      </c>
    </row>
    <row r="4" spans="1:14" ht="39" x14ac:dyDescent="0.35">
      <c r="A4" s="17" t="s">
        <v>367</v>
      </c>
      <c r="B4" s="17" t="s">
        <v>366</v>
      </c>
      <c r="C4" s="21" t="s">
        <v>368</v>
      </c>
      <c r="D4" s="17" t="s">
        <v>366</v>
      </c>
      <c r="E4" s="18" t="s">
        <v>369</v>
      </c>
      <c r="F4" s="17" t="s">
        <v>366</v>
      </c>
      <c r="G4" s="17"/>
      <c r="H4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4" s="20" t="s">
        <v>370</v>
      </c>
      <c r="J4" s="18" t="s">
        <v>16</v>
      </c>
      <c r="K4" s="17" t="s">
        <v>366</v>
      </c>
      <c r="L4" s="16" t="s">
        <v>372</v>
      </c>
      <c r="M4" s="18"/>
      <c r="N4" s="14" t="s">
        <v>371</v>
      </c>
    </row>
    <row r="5" spans="1:14" ht="39" x14ac:dyDescent="0.35">
      <c r="A5" s="17" t="s">
        <v>367</v>
      </c>
      <c r="B5" s="17" t="s">
        <v>366</v>
      </c>
      <c r="C5" s="21" t="s">
        <v>368</v>
      </c>
      <c r="D5" s="17" t="s">
        <v>366</v>
      </c>
      <c r="E5" s="18" t="s">
        <v>369</v>
      </c>
      <c r="F5" s="17" t="s">
        <v>366</v>
      </c>
      <c r="G5" s="17"/>
      <c r="H5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5" s="20" t="s">
        <v>370</v>
      </c>
      <c r="J5" s="18" t="s">
        <v>16</v>
      </c>
      <c r="K5" s="17" t="s">
        <v>366</v>
      </c>
      <c r="L5" s="16" t="s">
        <v>372</v>
      </c>
      <c r="M5" s="18"/>
      <c r="N5" s="14" t="s">
        <v>371</v>
      </c>
    </row>
    <row r="6" spans="1:14" ht="39" x14ac:dyDescent="0.35">
      <c r="A6" s="17" t="s">
        <v>367</v>
      </c>
      <c r="B6" s="17" t="s">
        <v>366</v>
      </c>
      <c r="C6" s="21" t="s">
        <v>368</v>
      </c>
      <c r="D6" s="17" t="s">
        <v>366</v>
      </c>
      <c r="E6" s="18" t="s">
        <v>369</v>
      </c>
      <c r="F6" s="17" t="s">
        <v>366</v>
      </c>
      <c r="G6" s="17"/>
      <c r="H6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6" s="20" t="s">
        <v>370</v>
      </c>
      <c r="J6" s="18" t="s">
        <v>16</v>
      </c>
      <c r="K6" s="17" t="s">
        <v>366</v>
      </c>
      <c r="L6" s="16" t="s">
        <v>372</v>
      </c>
      <c r="M6" s="18"/>
      <c r="N6" s="14" t="s">
        <v>371</v>
      </c>
    </row>
    <row r="7" spans="1:14" ht="39" x14ac:dyDescent="0.35">
      <c r="A7" s="17" t="s">
        <v>367</v>
      </c>
      <c r="B7" s="17" t="s">
        <v>366</v>
      </c>
      <c r="C7" s="21" t="s">
        <v>368</v>
      </c>
      <c r="D7" s="17" t="s">
        <v>366</v>
      </c>
      <c r="E7" s="18" t="s">
        <v>369</v>
      </c>
      <c r="F7" s="17" t="s">
        <v>366</v>
      </c>
      <c r="G7" s="17"/>
      <c r="H7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7" s="20" t="s">
        <v>370</v>
      </c>
      <c r="J7" s="18" t="s">
        <v>16</v>
      </c>
      <c r="K7" s="17" t="s">
        <v>366</v>
      </c>
      <c r="L7" s="16" t="s">
        <v>372</v>
      </c>
      <c r="M7" s="18"/>
      <c r="N7" s="14" t="s">
        <v>371</v>
      </c>
    </row>
    <row r="8" spans="1:14" ht="39" x14ac:dyDescent="0.35">
      <c r="A8" s="17" t="s">
        <v>367</v>
      </c>
      <c r="B8" s="17" t="s">
        <v>366</v>
      </c>
      <c r="C8" s="21" t="s">
        <v>368</v>
      </c>
      <c r="D8" s="17" t="s">
        <v>366</v>
      </c>
      <c r="E8" s="18" t="s">
        <v>369</v>
      </c>
      <c r="F8" s="17" t="s">
        <v>366</v>
      </c>
      <c r="G8" s="17"/>
      <c r="H8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8" s="20" t="s">
        <v>370</v>
      </c>
      <c r="J8" s="18" t="s">
        <v>16</v>
      </c>
      <c r="K8" s="17" t="s">
        <v>366</v>
      </c>
      <c r="L8" s="16" t="s">
        <v>372</v>
      </c>
      <c r="M8" s="18"/>
      <c r="N8" s="14" t="s">
        <v>371</v>
      </c>
    </row>
    <row r="9" spans="1:14" ht="39" x14ac:dyDescent="0.35">
      <c r="A9" s="17" t="s">
        <v>367</v>
      </c>
      <c r="B9" s="17" t="s">
        <v>366</v>
      </c>
      <c r="C9" s="21" t="s">
        <v>368</v>
      </c>
      <c r="D9" s="17" t="s">
        <v>366</v>
      </c>
      <c r="E9" s="18" t="s">
        <v>369</v>
      </c>
      <c r="F9" s="17" t="s">
        <v>366</v>
      </c>
      <c r="G9" s="17"/>
      <c r="H9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9" s="20" t="s">
        <v>370</v>
      </c>
      <c r="J9" s="18" t="s">
        <v>16</v>
      </c>
      <c r="K9" s="17" t="s">
        <v>366</v>
      </c>
      <c r="L9" s="16" t="s">
        <v>372</v>
      </c>
      <c r="M9" s="18"/>
      <c r="N9" s="14" t="s">
        <v>371</v>
      </c>
    </row>
    <row r="10" spans="1:14" ht="39" x14ac:dyDescent="0.35">
      <c r="A10" s="17" t="s">
        <v>367</v>
      </c>
      <c r="B10" s="17" t="s">
        <v>366</v>
      </c>
      <c r="C10" s="21" t="s">
        <v>368</v>
      </c>
      <c r="D10" s="17" t="s">
        <v>366</v>
      </c>
      <c r="E10" s="18" t="s">
        <v>369</v>
      </c>
      <c r="F10" s="17" t="s">
        <v>366</v>
      </c>
      <c r="G10" s="17"/>
      <c r="H10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0" s="20" t="s">
        <v>370</v>
      </c>
      <c r="J10" s="18" t="s">
        <v>16</v>
      </c>
      <c r="K10" s="17" t="s">
        <v>366</v>
      </c>
      <c r="L10" s="16" t="s">
        <v>372</v>
      </c>
      <c r="M10" s="18"/>
      <c r="N10" s="14" t="s">
        <v>371</v>
      </c>
    </row>
    <row r="11" spans="1:14" ht="39" x14ac:dyDescent="0.35">
      <c r="A11" s="17" t="s">
        <v>367</v>
      </c>
      <c r="B11" s="17" t="s">
        <v>366</v>
      </c>
      <c r="C11" s="21" t="s">
        <v>368</v>
      </c>
      <c r="D11" s="17" t="s">
        <v>366</v>
      </c>
      <c r="E11" s="18" t="s">
        <v>369</v>
      </c>
      <c r="F11" s="17" t="s">
        <v>366</v>
      </c>
      <c r="G11" s="17"/>
      <c r="H11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1" s="20" t="s">
        <v>370</v>
      </c>
      <c r="J11" s="18" t="s">
        <v>16</v>
      </c>
      <c r="K11" s="17" t="s">
        <v>366</v>
      </c>
      <c r="L11" s="16" t="s">
        <v>372</v>
      </c>
      <c r="M11" s="18"/>
      <c r="N11" s="14" t="s">
        <v>371</v>
      </c>
    </row>
    <row r="12" spans="1:14" ht="39" x14ac:dyDescent="0.35">
      <c r="A12" s="17" t="s">
        <v>367</v>
      </c>
      <c r="B12" s="17" t="s">
        <v>366</v>
      </c>
      <c r="C12" s="21" t="s">
        <v>368</v>
      </c>
      <c r="D12" s="17" t="s">
        <v>366</v>
      </c>
      <c r="E12" s="18" t="s">
        <v>369</v>
      </c>
      <c r="F12" s="17" t="s">
        <v>366</v>
      </c>
      <c r="G12" s="17"/>
      <c r="H12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2" s="20" t="s">
        <v>370</v>
      </c>
      <c r="J12" s="18" t="s">
        <v>16</v>
      </c>
      <c r="K12" s="17" t="s">
        <v>366</v>
      </c>
      <c r="L12" s="16" t="s">
        <v>372</v>
      </c>
      <c r="M12" s="18"/>
      <c r="N12" s="14" t="s">
        <v>371</v>
      </c>
    </row>
    <row r="13" spans="1:14" ht="39" x14ac:dyDescent="0.35">
      <c r="A13" s="17" t="s">
        <v>367</v>
      </c>
      <c r="B13" s="17" t="s">
        <v>366</v>
      </c>
      <c r="C13" s="21" t="s">
        <v>368</v>
      </c>
      <c r="D13" s="17" t="s">
        <v>366</v>
      </c>
      <c r="E13" s="18" t="s">
        <v>369</v>
      </c>
      <c r="F13" s="17" t="s">
        <v>366</v>
      </c>
      <c r="G13" s="17"/>
      <c r="H13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3" s="20" t="s">
        <v>370</v>
      </c>
      <c r="J13" s="18" t="s">
        <v>16</v>
      </c>
      <c r="K13" s="17" t="s">
        <v>366</v>
      </c>
      <c r="L13" s="16" t="s">
        <v>372</v>
      </c>
      <c r="M13" s="18"/>
      <c r="N13" s="14" t="s">
        <v>371</v>
      </c>
    </row>
    <row r="14" spans="1:14" ht="39" x14ac:dyDescent="0.35">
      <c r="A14" s="17" t="s">
        <v>367</v>
      </c>
      <c r="B14" s="17" t="s">
        <v>366</v>
      </c>
      <c r="C14" s="21" t="s">
        <v>368</v>
      </c>
      <c r="D14" s="17" t="s">
        <v>366</v>
      </c>
      <c r="E14" s="18" t="s">
        <v>369</v>
      </c>
      <c r="F14" s="17" t="s">
        <v>366</v>
      </c>
      <c r="G14" s="17"/>
      <c r="H14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4" s="20" t="s">
        <v>370</v>
      </c>
      <c r="J14" s="18" t="s">
        <v>16</v>
      </c>
      <c r="K14" s="17" t="s">
        <v>366</v>
      </c>
      <c r="L14" s="16" t="s">
        <v>372</v>
      </c>
      <c r="M14" s="18"/>
      <c r="N14" s="14" t="s">
        <v>371</v>
      </c>
    </row>
    <row r="15" spans="1:14" ht="39" x14ac:dyDescent="0.35">
      <c r="A15" s="17" t="s">
        <v>367</v>
      </c>
      <c r="B15" s="17" t="s">
        <v>366</v>
      </c>
      <c r="C15" s="21" t="s">
        <v>368</v>
      </c>
      <c r="D15" s="17" t="s">
        <v>366</v>
      </c>
      <c r="E15" s="18" t="s">
        <v>369</v>
      </c>
      <c r="F15" s="17" t="s">
        <v>366</v>
      </c>
      <c r="G15" s="17"/>
      <c r="H15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5" s="20" t="s">
        <v>370</v>
      </c>
      <c r="J15" s="18" t="s">
        <v>16</v>
      </c>
      <c r="K15" s="17" t="s">
        <v>366</v>
      </c>
      <c r="L15" s="16" t="s">
        <v>372</v>
      </c>
      <c r="M15" s="18"/>
      <c r="N15" s="14" t="s">
        <v>371</v>
      </c>
    </row>
    <row r="16" spans="1:14" ht="39" x14ac:dyDescent="0.35">
      <c r="A16" s="17" t="s">
        <v>367</v>
      </c>
      <c r="B16" s="17" t="s">
        <v>366</v>
      </c>
      <c r="C16" s="21" t="s">
        <v>368</v>
      </c>
      <c r="D16" s="17" t="s">
        <v>366</v>
      </c>
      <c r="E16" s="18" t="s">
        <v>369</v>
      </c>
      <c r="F16" s="17" t="s">
        <v>366</v>
      </c>
      <c r="G16" s="17"/>
      <c r="H16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6" s="20" t="s">
        <v>370</v>
      </c>
      <c r="J16" s="18" t="s">
        <v>16</v>
      </c>
      <c r="K16" s="17" t="s">
        <v>366</v>
      </c>
      <c r="L16" s="16" t="s">
        <v>372</v>
      </c>
      <c r="M16" s="18"/>
      <c r="N16" s="14" t="s">
        <v>371</v>
      </c>
    </row>
    <row r="17" spans="1:14" ht="39" x14ac:dyDescent="0.35">
      <c r="A17" s="17" t="s">
        <v>367</v>
      </c>
      <c r="B17" s="17" t="s">
        <v>366</v>
      </c>
      <c r="C17" s="21" t="s">
        <v>368</v>
      </c>
      <c r="D17" s="17" t="s">
        <v>366</v>
      </c>
      <c r="E17" s="18" t="s">
        <v>369</v>
      </c>
      <c r="F17" s="17" t="s">
        <v>366</v>
      </c>
      <c r="G17" s="17"/>
      <c r="H17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7" s="20" t="s">
        <v>370</v>
      </c>
      <c r="J17" s="18" t="s">
        <v>16</v>
      </c>
      <c r="K17" s="17" t="s">
        <v>366</v>
      </c>
      <c r="L17" s="16" t="s">
        <v>372</v>
      </c>
      <c r="M17" s="18"/>
      <c r="N17" s="14" t="s">
        <v>371</v>
      </c>
    </row>
    <row r="18" spans="1:14" ht="39" x14ac:dyDescent="0.35">
      <c r="A18" s="17" t="s">
        <v>367</v>
      </c>
      <c r="B18" s="17" t="s">
        <v>366</v>
      </c>
      <c r="C18" s="21" t="s">
        <v>368</v>
      </c>
      <c r="D18" s="17" t="s">
        <v>366</v>
      </c>
      <c r="E18" s="18" t="s">
        <v>369</v>
      </c>
      <c r="F18" s="17" t="s">
        <v>366</v>
      </c>
      <c r="G18" s="17"/>
      <c r="H18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8" s="20" t="s">
        <v>370</v>
      </c>
      <c r="J18" s="18" t="s">
        <v>16</v>
      </c>
      <c r="K18" s="17" t="s">
        <v>366</v>
      </c>
      <c r="L18" s="16" t="s">
        <v>372</v>
      </c>
      <c r="M18" s="18"/>
      <c r="N18" s="14" t="s">
        <v>371</v>
      </c>
    </row>
    <row r="19" spans="1:14" ht="39" x14ac:dyDescent="0.35">
      <c r="A19" s="17" t="s">
        <v>367</v>
      </c>
      <c r="B19" s="17" t="s">
        <v>366</v>
      </c>
      <c r="C19" s="21" t="s">
        <v>368</v>
      </c>
      <c r="D19" s="17" t="s">
        <v>366</v>
      </c>
      <c r="E19" s="18" t="s">
        <v>369</v>
      </c>
      <c r="F19" s="17" t="s">
        <v>366</v>
      </c>
      <c r="G19" s="17"/>
      <c r="H19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19" s="20" t="s">
        <v>370</v>
      </c>
      <c r="J19" s="18" t="s">
        <v>16</v>
      </c>
      <c r="K19" s="17" t="s">
        <v>366</v>
      </c>
      <c r="L19" s="16" t="s">
        <v>372</v>
      </c>
      <c r="M19" s="18"/>
      <c r="N19" s="14" t="s">
        <v>371</v>
      </c>
    </row>
    <row r="20" spans="1:14" ht="39" x14ac:dyDescent="0.35">
      <c r="A20" s="17" t="s">
        <v>367</v>
      </c>
      <c r="B20" s="17" t="s">
        <v>366</v>
      </c>
      <c r="C20" s="21" t="s">
        <v>368</v>
      </c>
      <c r="D20" s="17" t="s">
        <v>366</v>
      </c>
      <c r="E20" s="18" t="s">
        <v>369</v>
      </c>
      <c r="F20" s="17" t="s">
        <v>366</v>
      </c>
      <c r="G20" s="17"/>
      <c r="H20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0</v>
      </c>
      <c r="I20" s="20" t="s">
        <v>370</v>
      </c>
      <c r="J20" s="18" t="s">
        <v>16</v>
      </c>
      <c r="K20" s="17" t="s">
        <v>366</v>
      </c>
      <c r="L20" s="16" t="s">
        <v>372</v>
      </c>
      <c r="M20" s="18"/>
      <c r="N20" s="14" t="s">
        <v>371</v>
      </c>
    </row>
    <row r="21" spans="1:14" ht="39" x14ac:dyDescent="0.35">
      <c r="A21" s="17" t="s">
        <v>16</v>
      </c>
      <c r="B21" s="17" t="s">
        <v>366</v>
      </c>
      <c r="C21" s="21" t="s">
        <v>374</v>
      </c>
      <c r="D21" s="17" t="s">
        <v>366</v>
      </c>
      <c r="E21" s="18" t="s">
        <v>369</v>
      </c>
      <c r="F21" s="17" t="s">
        <v>375</v>
      </c>
      <c r="G21" s="17"/>
      <c r="H21" s="7">
        <f ca="1">IF(OR(Таблица3[[#This Row],[Статус]]=1,Таблица3[[#This Row],[Статус]]=2,Таблица3[[#This Row],[Статус]]=$A$1),"Исполнено",IF(Таблица3[[#This Row],[Контрольный срок]]="","нет контроля",IF(Таблица3[[#This Row],[Контрольный срок]]&lt;&gt;"",Таблица3[[#This Row],[Контрольный срок]]-TODAY())))</f>
        <v>156</v>
      </c>
      <c r="I21" s="20" t="s">
        <v>373</v>
      </c>
      <c r="J21" s="18" t="s">
        <v>16</v>
      </c>
      <c r="K21" s="17" t="s">
        <v>366</v>
      </c>
      <c r="L21" s="16" t="s">
        <v>376</v>
      </c>
      <c r="M21" s="18"/>
      <c r="N21" s="14" t="s">
        <v>371</v>
      </c>
    </row>
    <row r="1047663" spans="2:2" x14ac:dyDescent="0.35">
      <c r="B1047663" s="22"/>
    </row>
    <row r="1047664" spans="2:2" x14ac:dyDescent="0.35">
      <c r="B1047664" s="22"/>
    </row>
    <row r="1047665" spans="2:2" x14ac:dyDescent="0.35">
      <c r="B1047665" s="22"/>
    </row>
    <row r="1047666" spans="2:2" x14ac:dyDescent="0.35">
      <c r="B1047666" s="22"/>
    </row>
    <row r="1047667" spans="2:2" x14ac:dyDescent="0.35">
      <c r="B1047667" s="22"/>
    </row>
    <row r="1047694" spans="1:1" x14ac:dyDescent="0.35">
      <c r="A1047694" s="35"/>
    </row>
  </sheetData>
  <customSheetViews>
    <customSheetView guid="{A37B274A-F9CD-46E3-AA66-F84B1A83AD7F}">
      <selection activeCell="K2" sqref="K2"/>
      <pageMargins left="0.7" right="0.7" top="0.75" bottom="0.75" header="0.3" footer="0.3"/>
    </customSheetView>
  </customSheetViews>
  <conditionalFormatting sqref="H2:H1048576">
    <cfRule type="colorScale" priority="187">
      <colorScale>
        <cfvo type="num" val="1"/>
        <cfvo type="num" val="4"/>
        <cfvo type="num" val="7"/>
        <color rgb="FFFF0000"/>
        <color rgb="FFF0FDA5"/>
        <color rgb="FFC5FEA8"/>
      </colorScale>
    </cfRule>
  </conditionalFormatting>
  <conditionalFormatting sqref="H3:H20">
    <cfRule type="colorScale" priority="1">
      <colorScale>
        <cfvo type="num" val="1"/>
        <cfvo type="num" val="4"/>
        <cfvo type="num" val="7"/>
        <color rgb="FFFF0000"/>
        <color rgb="FFF0FDA5"/>
        <color rgb="FFC5FEA8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B1:J187"/>
  <sheetViews>
    <sheetView topLeftCell="B1" zoomScale="80" zoomScaleNormal="80" workbookViewId="0">
      <selection activeCell="F3" sqref="F3"/>
    </sheetView>
  </sheetViews>
  <sheetFormatPr defaultRowHeight="14.5" x14ac:dyDescent="0.35"/>
  <cols>
    <col min="2" max="2" width="22" style="6" customWidth="1"/>
    <col min="3" max="3" width="25.36328125" style="6" customWidth="1"/>
    <col min="4" max="4" width="30.90625" style="6" customWidth="1"/>
    <col min="5" max="5" width="63.6328125" style="6" customWidth="1"/>
    <col min="6" max="6" width="26.36328125" style="6" customWidth="1"/>
    <col min="7" max="7" width="18.90625" style="6" customWidth="1"/>
    <col min="8" max="8" width="24" style="6" customWidth="1"/>
    <col min="9" max="9" width="37.36328125" style="6" customWidth="1"/>
    <col min="10" max="10" width="8.90625" style="6"/>
  </cols>
  <sheetData>
    <row r="1" spans="2:10" ht="37" x14ac:dyDescent="0.35">
      <c r="B1" s="1" t="s">
        <v>35</v>
      </c>
      <c r="C1" s="1" t="s">
        <v>36</v>
      </c>
      <c r="D1" s="1" t="s">
        <v>37</v>
      </c>
      <c r="E1" s="1" t="s">
        <v>34</v>
      </c>
      <c r="F1" s="1" t="s">
        <v>4</v>
      </c>
      <c r="G1" s="1" t="s">
        <v>38</v>
      </c>
      <c r="H1" s="1" t="s">
        <v>39</v>
      </c>
      <c r="I1" s="2" t="s">
        <v>33</v>
      </c>
      <c r="J1" s="3" t="s">
        <v>40</v>
      </c>
    </row>
    <row r="2" spans="2:10" ht="18.5" x14ac:dyDescent="0.35">
      <c r="B2" s="32" t="s">
        <v>44</v>
      </c>
      <c r="C2" s="32" t="s">
        <v>15</v>
      </c>
      <c r="D2" s="32" t="s">
        <v>184</v>
      </c>
      <c r="E2" s="32" t="s">
        <v>232</v>
      </c>
      <c r="F2" s="4" t="s">
        <v>231</v>
      </c>
      <c r="G2" s="33" t="s">
        <v>212</v>
      </c>
      <c r="H2" s="32" t="str">
        <f>CONCATENATE(6118,"-утпипу")</f>
        <v>6118-утпипу</v>
      </c>
      <c r="I2" s="32"/>
      <c r="J2" s="31"/>
    </row>
    <row r="3" spans="2:10" ht="18.5" x14ac:dyDescent="0.35">
      <c r="B3" s="4" t="s">
        <v>12</v>
      </c>
      <c r="C3" s="4" t="s">
        <v>15</v>
      </c>
      <c r="D3" s="4" t="s">
        <v>43</v>
      </c>
      <c r="E3" s="4" t="s">
        <v>259</v>
      </c>
      <c r="F3" s="4" t="s">
        <v>231</v>
      </c>
      <c r="G3" s="10" t="s">
        <v>256</v>
      </c>
      <c r="H3" s="4" t="s">
        <v>260</v>
      </c>
      <c r="I3" s="4"/>
      <c r="J3" s="31"/>
    </row>
    <row r="4" spans="2:10" ht="18.5" x14ac:dyDescent="0.35">
      <c r="B4" s="32" t="s">
        <v>44</v>
      </c>
      <c r="C4" s="32" t="s">
        <v>15</v>
      </c>
      <c r="D4" s="32" t="s">
        <v>229</v>
      </c>
      <c r="E4" s="32" t="s">
        <v>230</v>
      </c>
      <c r="F4" s="4" t="s">
        <v>231</v>
      </c>
      <c r="G4" s="33" t="s">
        <v>212</v>
      </c>
      <c r="H4" s="32" t="str">
        <f>CONCATENATE(6123,"-утпипу")</f>
        <v>6123-утпипу</v>
      </c>
      <c r="I4" s="32"/>
      <c r="J4" s="31"/>
    </row>
    <row r="5" spans="2:10" ht="18.5" x14ac:dyDescent="0.35">
      <c r="B5" s="4" t="s">
        <v>22</v>
      </c>
      <c r="C5" s="4" t="s">
        <v>13</v>
      </c>
      <c r="D5" s="4" t="s">
        <v>47</v>
      </c>
      <c r="E5" s="4" t="s">
        <v>46</v>
      </c>
      <c r="F5" s="4" t="s">
        <v>48</v>
      </c>
      <c r="G5" s="10" t="s">
        <v>42</v>
      </c>
      <c r="H5" s="4" t="s">
        <v>49</v>
      </c>
      <c r="I5" s="4"/>
      <c r="J5" s="5"/>
    </row>
    <row r="6" spans="2:10" ht="18.5" x14ac:dyDescent="0.35">
      <c r="B6" s="11" t="s">
        <v>25</v>
      </c>
      <c r="C6" s="12" t="s">
        <v>13</v>
      </c>
      <c r="D6" s="11" t="s">
        <v>54</v>
      </c>
      <c r="E6" s="11" t="s">
        <v>55</v>
      </c>
      <c r="F6" s="12" t="s">
        <v>48</v>
      </c>
      <c r="G6" s="13" t="s">
        <v>42</v>
      </c>
      <c r="H6" s="12" t="s">
        <v>60</v>
      </c>
      <c r="I6" s="11"/>
      <c r="J6" s="11"/>
    </row>
    <row r="7" spans="2:10" ht="37" x14ac:dyDescent="0.35">
      <c r="B7" s="11" t="s">
        <v>62</v>
      </c>
      <c r="C7" s="12" t="s">
        <v>13</v>
      </c>
      <c r="D7" s="11" t="s">
        <v>63</v>
      </c>
      <c r="E7" s="11" t="s">
        <v>64</v>
      </c>
      <c r="F7" s="12" t="s">
        <v>48</v>
      </c>
      <c r="G7" s="13" t="s">
        <v>42</v>
      </c>
      <c r="H7" s="12" t="str">
        <f t="shared" ref="H7:H14" si="0">CONCATENATE(J7,"-утпипу")</f>
        <v>2383-утпипу</v>
      </c>
      <c r="I7" s="11"/>
      <c r="J7" s="11" t="s">
        <v>61</v>
      </c>
    </row>
    <row r="8" spans="2:10" ht="37" x14ac:dyDescent="0.35">
      <c r="B8" s="5" t="s">
        <v>32</v>
      </c>
      <c r="C8" s="12" t="s">
        <v>13</v>
      </c>
      <c r="D8" s="5" t="s">
        <v>67</v>
      </c>
      <c r="E8" s="11" t="s">
        <v>59</v>
      </c>
      <c r="F8" s="12" t="s">
        <v>48</v>
      </c>
      <c r="G8" s="13" t="s">
        <v>65</v>
      </c>
      <c r="H8" s="12" t="str">
        <f t="shared" si="0"/>
        <v>2384-утпипу</v>
      </c>
      <c r="I8" s="11"/>
      <c r="J8" s="11">
        <f>J7+1</f>
        <v>2384</v>
      </c>
    </row>
    <row r="9" spans="2:10" ht="18.5" x14ac:dyDescent="0.35">
      <c r="B9" s="5" t="s">
        <v>32</v>
      </c>
      <c r="C9" s="12" t="s">
        <v>13</v>
      </c>
      <c r="D9" s="5" t="s">
        <v>68</v>
      </c>
      <c r="E9" s="11" t="s">
        <v>57</v>
      </c>
      <c r="F9" s="12" t="s">
        <v>48</v>
      </c>
      <c r="G9" s="13" t="s">
        <v>65</v>
      </c>
      <c r="H9" s="34" t="str">
        <f t="shared" si="0"/>
        <v>2385-утпипу</v>
      </c>
      <c r="I9" s="34" t="s">
        <v>69</v>
      </c>
      <c r="J9" s="11">
        <f t="shared" ref="J9:J81" si="1">J8+1</f>
        <v>2385</v>
      </c>
    </row>
    <row r="10" spans="2:10" ht="37" x14ac:dyDescent="0.35">
      <c r="B10" s="4" t="s">
        <v>27</v>
      </c>
      <c r="C10" s="12" t="s">
        <v>13</v>
      </c>
      <c r="D10" s="5" t="s">
        <v>70</v>
      </c>
      <c r="E10" s="5" t="s">
        <v>56</v>
      </c>
      <c r="F10" s="12" t="s">
        <v>48</v>
      </c>
      <c r="G10" s="13" t="s">
        <v>65</v>
      </c>
      <c r="H10" s="12" t="str">
        <f t="shared" si="0"/>
        <v>2386-утпипу</v>
      </c>
      <c r="I10" s="5"/>
      <c r="J10" s="11">
        <f t="shared" si="1"/>
        <v>2386</v>
      </c>
    </row>
    <row r="11" spans="2:10" ht="37" x14ac:dyDescent="0.35">
      <c r="B11" s="5" t="s">
        <v>30</v>
      </c>
      <c r="C11" s="12" t="s">
        <v>13</v>
      </c>
      <c r="D11" s="5" t="s">
        <v>63</v>
      </c>
      <c r="E11" s="5" t="s">
        <v>71</v>
      </c>
      <c r="F11" s="12" t="s">
        <v>48</v>
      </c>
      <c r="G11" s="15" t="s">
        <v>65</v>
      </c>
      <c r="H11" s="5" t="str">
        <f t="shared" si="0"/>
        <v>2387-утпипу</v>
      </c>
      <c r="I11" s="5"/>
      <c r="J11" s="11">
        <f t="shared" si="1"/>
        <v>2387</v>
      </c>
    </row>
    <row r="12" spans="2:10" ht="18.5" x14ac:dyDescent="0.35">
      <c r="B12" s="5" t="s">
        <v>30</v>
      </c>
      <c r="C12" s="4" t="s">
        <v>13</v>
      </c>
      <c r="D12" s="5" t="s">
        <v>73</v>
      </c>
      <c r="E12" s="5" t="s">
        <v>74</v>
      </c>
      <c r="F12" s="5" t="s">
        <v>72</v>
      </c>
      <c r="G12" s="15" t="s">
        <v>65</v>
      </c>
      <c r="H12" s="5" t="str">
        <f t="shared" si="0"/>
        <v>2388-утпипу</v>
      </c>
      <c r="I12" s="5"/>
      <c r="J12" s="11">
        <f t="shared" si="1"/>
        <v>2388</v>
      </c>
    </row>
    <row r="13" spans="2:10" ht="37" x14ac:dyDescent="0.35">
      <c r="B13" s="11" t="s">
        <v>30</v>
      </c>
      <c r="C13" s="12" t="s">
        <v>13</v>
      </c>
      <c r="D13" s="11" t="s">
        <v>73</v>
      </c>
      <c r="E13" s="11" t="s">
        <v>75</v>
      </c>
      <c r="F13" s="5" t="s">
        <v>72</v>
      </c>
      <c r="G13" s="13" t="s">
        <v>65</v>
      </c>
      <c r="H13" s="11" t="str">
        <f t="shared" si="0"/>
        <v>2389-утпипу</v>
      </c>
      <c r="I13" s="11"/>
      <c r="J13" s="11">
        <f t="shared" si="1"/>
        <v>2389</v>
      </c>
    </row>
    <row r="14" spans="2:10" ht="18.5" x14ac:dyDescent="0.35">
      <c r="B14" s="11" t="s">
        <v>30</v>
      </c>
      <c r="C14" s="12" t="s">
        <v>13</v>
      </c>
      <c r="D14" s="11" t="s">
        <v>73</v>
      </c>
      <c r="E14" s="5" t="s">
        <v>53</v>
      </c>
      <c r="F14" s="5" t="s">
        <v>72</v>
      </c>
      <c r="G14" s="15" t="s">
        <v>65</v>
      </c>
      <c r="H14" s="5" t="str">
        <f t="shared" si="0"/>
        <v>2390-утпипу</v>
      </c>
      <c r="I14" s="5"/>
      <c r="J14" s="11">
        <f t="shared" si="1"/>
        <v>2390</v>
      </c>
    </row>
    <row r="15" spans="2:10" ht="18.5" x14ac:dyDescent="0.35">
      <c r="B15" s="5" t="s">
        <v>16</v>
      </c>
      <c r="C15" s="12" t="s">
        <v>13</v>
      </c>
      <c r="D15" s="5" t="s">
        <v>78</v>
      </c>
      <c r="E15" s="5" t="s">
        <v>79</v>
      </c>
      <c r="F15" s="5" t="s">
        <v>72</v>
      </c>
      <c r="G15" s="15" t="s">
        <v>65</v>
      </c>
      <c r="H15" s="5" t="str">
        <f t="shared" ref="H15:H29" si="2">CONCATENATE(J15,"-утпипу")</f>
        <v>2391-утпипу</v>
      </c>
      <c r="I15" s="5"/>
      <c r="J15" s="11">
        <f t="shared" si="1"/>
        <v>2391</v>
      </c>
    </row>
    <row r="16" spans="2:10" ht="18.5" x14ac:dyDescent="0.35">
      <c r="B16" s="5" t="s">
        <v>50</v>
      </c>
      <c r="C16" s="5" t="s">
        <v>15</v>
      </c>
      <c r="D16" s="5" t="s">
        <v>88</v>
      </c>
      <c r="E16" s="8" t="s">
        <v>77</v>
      </c>
      <c r="F16" s="5" t="s">
        <v>48</v>
      </c>
      <c r="G16" s="15" t="s">
        <v>87</v>
      </c>
      <c r="H16" s="5" t="str">
        <f t="shared" si="2"/>
        <v>2392-утпипу</v>
      </c>
      <c r="I16" s="5"/>
      <c r="J16" s="11">
        <f t="shared" si="1"/>
        <v>2392</v>
      </c>
    </row>
    <row r="17" spans="2:10" ht="18.5" x14ac:dyDescent="0.35">
      <c r="B17" s="5" t="s">
        <v>89</v>
      </c>
      <c r="C17" s="5" t="s">
        <v>13</v>
      </c>
      <c r="D17" s="5" t="s">
        <v>29</v>
      </c>
      <c r="E17" s="5" t="s">
        <v>86</v>
      </c>
      <c r="F17" s="5" t="s">
        <v>72</v>
      </c>
      <c r="G17" s="15" t="s">
        <v>87</v>
      </c>
      <c r="H17" s="5" t="str">
        <f t="shared" si="2"/>
        <v>2393-утпипу</v>
      </c>
      <c r="I17" s="5"/>
      <c r="J17" s="11">
        <f t="shared" si="1"/>
        <v>2393</v>
      </c>
    </row>
    <row r="18" spans="2:10" ht="37" x14ac:dyDescent="0.35">
      <c r="B18" s="15" t="s">
        <v>23</v>
      </c>
      <c r="C18" s="5" t="s">
        <v>13</v>
      </c>
      <c r="D18" s="5" t="s">
        <v>92</v>
      </c>
      <c r="E18" s="5" t="s">
        <v>91</v>
      </c>
      <c r="F18" s="5" t="s">
        <v>72</v>
      </c>
      <c r="G18" s="15" t="s">
        <v>87</v>
      </c>
      <c r="H18" s="5" t="str">
        <f t="shared" si="2"/>
        <v>2394-утпипу</v>
      </c>
      <c r="I18" s="5"/>
      <c r="J18" s="11">
        <f t="shared" si="1"/>
        <v>2394</v>
      </c>
    </row>
    <row r="19" spans="2:10" ht="18.5" x14ac:dyDescent="0.35">
      <c r="B19" s="5" t="s">
        <v>76</v>
      </c>
      <c r="C19" s="5" t="s">
        <v>13</v>
      </c>
      <c r="D19" s="5" t="s">
        <v>93</v>
      </c>
      <c r="E19" s="5" t="s">
        <v>83</v>
      </c>
      <c r="F19" s="5" t="s">
        <v>48</v>
      </c>
      <c r="G19" s="15" t="s">
        <v>87</v>
      </c>
      <c r="H19" s="5" t="str">
        <f t="shared" si="2"/>
        <v>2395-утпипу</v>
      </c>
      <c r="I19" s="5"/>
      <c r="J19" s="11">
        <f t="shared" si="1"/>
        <v>2395</v>
      </c>
    </row>
    <row r="20" spans="2:10" ht="18.5" x14ac:dyDescent="0.35">
      <c r="B20" s="5" t="s">
        <v>27</v>
      </c>
      <c r="C20" s="5" t="s">
        <v>13</v>
      </c>
      <c r="D20" s="5" t="s">
        <v>94</v>
      </c>
      <c r="E20" s="5" t="s">
        <v>80</v>
      </c>
      <c r="F20" s="5" t="s">
        <v>48</v>
      </c>
      <c r="G20" s="15" t="s">
        <v>87</v>
      </c>
      <c r="H20" s="5" t="str">
        <f t="shared" si="2"/>
        <v>2396-утпипу</v>
      </c>
      <c r="I20" s="5"/>
      <c r="J20" s="11">
        <f t="shared" si="1"/>
        <v>2396</v>
      </c>
    </row>
    <row r="21" spans="2:10" ht="18.5" x14ac:dyDescent="0.35">
      <c r="B21" s="5" t="s">
        <v>30</v>
      </c>
      <c r="C21" s="5" t="s">
        <v>15</v>
      </c>
      <c r="D21" s="5" t="s">
        <v>95</v>
      </c>
      <c r="E21" s="5" t="s">
        <v>51</v>
      </c>
      <c r="F21" s="5" t="s">
        <v>48</v>
      </c>
      <c r="G21" s="15" t="s">
        <v>87</v>
      </c>
      <c r="H21" s="5" t="str">
        <f t="shared" si="2"/>
        <v>2397-утпипу</v>
      </c>
      <c r="I21" s="5"/>
      <c r="J21" s="11">
        <f t="shared" si="1"/>
        <v>2397</v>
      </c>
    </row>
    <row r="22" spans="2:10" ht="18.5" x14ac:dyDescent="0.35">
      <c r="B22" s="5" t="s">
        <v>30</v>
      </c>
      <c r="C22" s="5" t="s">
        <v>15</v>
      </c>
      <c r="D22" s="5" t="s">
        <v>96</v>
      </c>
      <c r="E22" s="5" t="s">
        <v>52</v>
      </c>
      <c r="F22" s="5" t="s">
        <v>48</v>
      </c>
      <c r="G22" s="15" t="s">
        <v>87</v>
      </c>
      <c r="H22" s="5" t="str">
        <f t="shared" si="2"/>
        <v>2398-утпипу</v>
      </c>
      <c r="I22" s="5"/>
      <c r="J22" s="11">
        <f t="shared" si="1"/>
        <v>2398</v>
      </c>
    </row>
    <row r="23" spans="2:10" ht="37" x14ac:dyDescent="0.35">
      <c r="B23" s="5" t="s">
        <v>22</v>
      </c>
      <c r="C23" s="5" t="s">
        <v>15</v>
      </c>
      <c r="D23" s="5" t="s">
        <v>97</v>
      </c>
      <c r="E23" s="5" t="s">
        <v>58</v>
      </c>
      <c r="F23" s="5" t="s">
        <v>48</v>
      </c>
      <c r="G23" s="15" t="s">
        <v>87</v>
      </c>
      <c r="H23" s="5" t="str">
        <f t="shared" si="2"/>
        <v>2399-утпипу</v>
      </c>
      <c r="I23" s="5"/>
      <c r="J23" s="11">
        <f t="shared" si="1"/>
        <v>2399</v>
      </c>
    </row>
    <row r="24" spans="2:10" ht="37" x14ac:dyDescent="0.35">
      <c r="B24" s="5" t="s">
        <v>99</v>
      </c>
      <c r="C24" s="5" t="s">
        <v>13</v>
      </c>
      <c r="D24" s="5" t="s">
        <v>100</v>
      </c>
      <c r="E24" s="5" t="s">
        <v>98</v>
      </c>
      <c r="F24" s="5" t="s">
        <v>48</v>
      </c>
      <c r="G24" s="15" t="s">
        <v>87</v>
      </c>
      <c r="H24" s="5" t="str">
        <f t="shared" si="2"/>
        <v>2400-утпипу</v>
      </c>
      <c r="I24" s="5"/>
      <c r="J24" s="11">
        <f t="shared" si="1"/>
        <v>2400</v>
      </c>
    </row>
    <row r="25" spans="2:10" ht="18.5" x14ac:dyDescent="0.35">
      <c r="B25" s="5" t="s">
        <v>102</v>
      </c>
      <c r="C25" s="5" t="s">
        <v>13</v>
      </c>
      <c r="D25" s="5" t="s">
        <v>103</v>
      </c>
      <c r="E25" s="5" t="s">
        <v>101</v>
      </c>
      <c r="F25" s="5" t="s">
        <v>48</v>
      </c>
      <c r="G25" s="15" t="s">
        <v>87</v>
      </c>
      <c r="H25" s="5" t="str">
        <f t="shared" si="2"/>
        <v>2401-утпипу</v>
      </c>
      <c r="I25" s="5"/>
      <c r="J25" s="11">
        <f t="shared" si="1"/>
        <v>2401</v>
      </c>
    </row>
    <row r="26" spans="2:10" ht="18.5" x14ac:dyDescent="0.35">
      <c r="B26" s="5" t="s">
        <v>16</v>
      </c>
      <c r="C26" s="5" t="s">
        <v>13</v>
      </c>
      <c r="D26" s="5" t="s">
        <v>105</v>
      </c>
      <c r="E26" s="5" t="s">
        <v>104</v>
      </c>
      <c r="F26" s="5" t="s">
        <v>90</v>
      </c>
      <c r="G26" s="15" t="s">
        <v>87</v>
      </c>
      <c r="H26" s="5" t="str">
        <f t="shared" si="2"/>
        <v>2402-утпипу</v>
      </c>
      <c r="I26" s="5"/>
      <c r="J26" s="11">
        <f t="shared" si="1"/>
        <v>2402</v>
      </c>
    </row>
    <row r="27" spans="2:10" ht="55.5" x14ac:dyDescent="0.35">
      <c r="B27" s="5" t="s">
        <v>30</v>
      </c>
      <c r="C27" s="5" t="s">
        <v>13</v>
      </c>
      <c r="D27" s="5" t="s">
        <v>106</v>
      </c>
      <c r="E27" s="5" t="s">
        <v>107</v>
      </c>
      <c r="F27" s="5" t="s">
        <v>90</v>
      </c>
      <c r="G27" s="15" t="s">
        <v>87</v>
      </c>
      <c r="H27" s="5" t="str">
        <f t="shared" si="2"/>
        <v>2403-утпипу</v>
      </c>
      <c r="I27" s="5"/>
      <c r="J27" s="11">
        <f t="shared" si="1"/>
        <v>2403</v>
      </c>
    </row>
    <row r="28" spans="2:10" ht="37" x14ac:dyDescent="0.35">
      <c r="B28" s="5" t="s">
        <v>11</v>
      </c>
      <c r="C28" s="5" t="s">
        <v>13</v>
      </c>
      <c r="D28" s="5" t="s">
        <v>109</v>
      </c>
      <c r="E28" s="5" t="s">
        <v>110</v>
      </c>
      <c r="F28" s="5" t="s">
        <v>111</v>
      </c>
      <c r="G28" s="15" t="s">
        <v>108</v>
      </c>
      <c r="H28" s="5" t="str">
        <f t="shared" si="2"/>
        <v>2404-утпипу</v>
      </c>
      <c r="I28" s="5"/>
      <c r="J28" s="11">
        <f t="shared" si="1"/>
        <v>2404</v>
      </c>
    </row>
    <row r="29" spans="2:10" ht="18.5" x14ac:dyDescent="0.35">
      <c r="B29" s="5" t="s">
        <v>31</v>
      </c>
      <c r="C29" s="5" t="s">
        <v>13</v>
      </c>
      <c r="D29" s="5" t="s">
        <v>112</v>
      </c>
      <c r="E29" s="5" t="s">
        <v>126</v>
      </c>
      <c r="F29" s="5" t="s">
        <v>48</v>
      </c>
      <c r="G29" s="15" t="s">
        <v>108</v>
      </c>
      <c r="H29" s="5" t="str">
        <f t="shared" si="2"/>
        <v>2405-утпипу</v>
      </c>
      <c r="I29" s="5"/>
      <c r="J29" s="11">
        <f t="shared" si="1"/>
        <v>2405</v>
      </c>
    </row>
    <row r="30" spans="2:10" ht="18.5" x14ac:dyDescent="0.35">
      <c r="B30" s="5" t="s">
        <v>30</v>
      </c>
      <c r="C30" s="5" t="s">
        <v>15</v>
      </c>
      <c r="D30" s="15" t="s">
        <v>114</v>
      </c>
      <c r="E30" s="15" t="s">
        <v>115</v>
      </c>
      <c r="F30" s="5" t="s">
        <v>48</v>
      </c>
      <c r="G30" s="15" t="s">
        <v>108</v>
      </c>
      <c r="H30" s="5" t="str">
        <f>CONCATENATE(J30,"-утпипу")</f>
        <v>2406-утпипу</v>
      </c>
      <c r="I30" s="5"/>
      <c r="J30" s="11">
        <f t="shared" si="1"/>
        <v>2406</v>
      </c>
    </row>
    <row r="31" spans="2:10" ht="18.5" x14ac:dyDescent="0.35">
      <c r="B31" s="5" t="s">
        <v>30</v>
      </c>
      <c r="C31" s="5" t="s">
        <v>15</v>
      </c>
      <c r="D31" s="5" t="s">
        <v>116</v>
      </c>
      <c r="E31" s="5" t="s">
        <v>117</v>
      </c>
      <c r="F31" s="5" t="s">
        <v>48</v>
      </c>
      <c r="G31" s="15" t="s">
        <v>108</v>
      </c>
      <c r="H31" s="5" t="str">
        <f t="shared" ref="H31:H40" si="3">CONCATENATE(J31,"-утпипу")</f>
        <v>2407-утпипу</v>
      </c>
      <c r="I31" s="5"/>
      <c r="J31" s="11">
        <f t="shared" si="1"/>
        <v>2407</v>
      </c>
    </row>
    <row r="32" spans="2:10" ht="18.5" x14ac:dyDescent="0.35">
      <c r="B32" s="5" t="s">
        <v>26</v>
      </c>
      <c r="C32" s="5" t="s">
        <v>13</v>
      </c>
      <c r="D32" s="5" t="s">
        <v>92</v>
      </c>
      <c r="E32" s="5" t="s">
        <v>118</v>
      </c>
      <c r="F32" s="5" t="s">
        <v>90</v>
      </c>
      <c r="G32" s="15" t="s">
        <v>108</v>
      </c>
      <c r="H32" s="5" t="str">
        <f t="shared" si="3"/>
        <v>2408-утпипу</v>
      </c>
      <c r="I32" s="5"/>
      <c r="J32" s="11">
        <f t="shared" si="1"/>
        <v>2408</v>
      </c>
    </row>
    <row r="33" spans="2:10" ht="18.5" x14ac:dyDescent="0.35">
      <c r="B33" s="5" t="s">
        <v>22</v>
      </c>
      <c r="C33" s="5" t="s">
        <v>13</v>
      </c>
      <c r="D33" s="5" t="s">
        <v>123</v>
      </c>
      <c r="E33" s="5" t="s">
        <v>124</v>
      </c>
      <c r="F33" s="5" t="s">
        <v>48</v>
      </c>
      <c r="G33" s="15" t="s">
        <v>129</v>
      </c>
      <c r="H33" s="5" t="str">
        <f t="shared" si="3"/>
        <v>2409-утпипу</v>
      </c>
      <c r="I33" s="5"/>
      <c r="J33" s="11">
        <f t="shared" si="1"/>
        <v>2409</v>
      </c>
    </row>
    <row r="34" spans="2:10" ht="18.5" x14ac:dyDescent="0.35">
      <c r="B34" s="5" t="s">
        <v>113</v>
      </c>
      <c r="C34" s="5" t="s">
        <v>13</v>
      </c>
      <c r="D34" s="5" t="s">
        <v>78</v>
      </c>
      <c r="E34" s="5" t="s">
        <v>125</v>
      </c>
      <c r="F34" s="5" t="s">
        <v>90</v>
      </c>
      <c r="G34" s="15" t="s">
        <v>108</v>
      </c>
      <c r="H34" s="5" t="str">
        <f t="shared" si="3"/>
        <v>2410-утпипу</v>
      </c>
      <c r="I34" s="5"/>
      <c r="J34" s="11">
        <f t="shared" si="1"/>
        <v>2410</v>
      </c>
    </row>
    <row r="35" spans="2:10" ht="37" x14ac:dyDescent="0.35">
      <c r="B35" s="5" t="s">
        <v>32</v>
      </c>
      <c r="C35" s="5" t="s">
        <v>13</v>
      </c>
      <c r="D35" s="5" t="s">
        <v>97</v>
      </c>
      <c r="E35" s="5" t="s">
        <v>130</v>
      </c>
      <c r="F35" s="5" t="s">
        <v>48</v>
      </c>
      <c r="G35" s="15" t="s">
        <v>129</v>
      </c>
      <c r="H35" s="5" t="str">
        <f t="shared" si="3"/>
        <v>2411-утпипу</v>
      </c>
      <c r="I35" s="5"/>
      <c r="J35" s="11">
        <f t="shared" si="1"/>
        <v>2411</v>
      </c>
    </row>
    <row r="36" spans="2:10" ht="18.5" x14ac:dyDescent="0.35">
      <c r="B36" s="5" t="s">
        <v>102</v>
      </c>
      <c r="C36" s="5" t="s">
        <v>13</v>
      </c>
      <c r="D36" s="5" t="s">
        <v>92</v>
      </c>
      <c r="E36" s="5" t="s">
        <v>128</v>
      </c>
      <c r="F36" s="5" t="s">
        <v>90</v>
      </c>
      <c r="G36" s="15" t="s">
        <v>129</v>
      </c>
      <c r="H36" s="5" t="str">
        <f t="shared" si="3"/>
        <v>2412-утпипу</v>
      </c>
      <c r="I36" s="5"/>
      <c r="J36" s="11">
        <f t="shared" si="1"/>
        <v>2412</v>
      </c>
    </row>
    <row r="37" spans="2:10" ht="18.5" x14ac:dyDescent="0.35">
      <c r="B37" s="5" t="s">
        <v>99</v>
      </c>
      <c r="C37" s="5" t="s">
        <v>13</v>
      </c>
      <c r="D37" s="5" t="s">
        <v>105</v>
      </c>
      <c r="E37" s="5" t="s">
        <v>81</v>
      </c>
      <c r="F37" s="5" t="s">
        <v>90</v>
      </c>
      <c r="G37" s="15" t="s">
        <v>129</v>
      </c>
      <c r="H37" s="5" t="str">
        <f t="shared" si="3"/>
        <v>2413-утпипу</v>
      </c>
      <c r="I37" s="5"/>
      <c r="J37" s="11">
        <f t="shared" si="1"/>
        <v>2413</v>
      </c>
    </row>
    <row r="38" spans="2:10" ht="18.5" x14ac:dyDescent="0.35">
      <c r="B38" s="5" t="s">
        <v>22</v>
      </c>
      <c r="C38" s="5" t="s">
        <v>13</v>
      </c>
      <c r="D38" s="5" t="s">
        <v>131</v>
      </c>
      <c r="E38" s="5" t="s">
        <v>121</v>
      </c>
      <c r="F38" s="5" t="s">
        <v>48</v>
      </c>
      <c r="G38" s="15" t="s">
        <v>129</v>
      </c>
      <c r="H38" s="5" t="str">
        <f t="shared" si="3"/>
        <v>2414-утпипу</v>
      </c>
      <c r="I38" s="5"/>
      <c r="J38" s="11">
        <f t="shared" si="1"/>
        <v>2414</v>
      </c>
    </row>
    <row r="39" spans="2:10" ht="18.5" x14ac:dyDescent="0.35">
      <c r="B39" s="5" t="s">
        <v>99</v>
      </c>
      <c r="C39" s="5" t="s">
        <v>13</v>
      </c>
      <c r="D39" s="5" t="s">
        <v>132</v>
      </c>
      <c r="E39" s="5" t="s">
        <v>120</v>
      </c>
      <c r="F39" s="5" t="s">
        <v>48</v>
      </c>
      <c r="G39" s="15" t="s">
        <v>129</v>
      </c>
      <c r="H39" s="5" t="str">
        <f t="shared" si="3"/>
        <v>2415-утпипу</v>
      </c>
      <c r="I39" s="5"/>
      <c r="J39" s="11">
        <f t="shared" si="1"/>
        <v>2415</v>
      </c>
    </row>
    <row r="40" spans="2:10" ht="37" x14ac:dyDescent="0.35">
      <c r="B40" s="5" t="s">
        <v>99</v>
      </c>
      <c r="C40" s="5" t="s">
        <v>13</v>
      </c>
      <c r="D40" s="5" t="s">
        <v>133</v>
      </c>
      <c r="E40" s="5" t="s">
        <v>119</v>
      </c>
      <c r="F40" s="5" t="s">
        <v>48</v>
      </c>
      <c r="G40" s="15" t="s">
        <v>129</v>
      </c>
      <c r="H40" s="5" t="str">
        <f t="shared" si="3"/>
        <v>2416-утпипу</v>
      </c>
      <c r="I40" s="5"/>
      <c r="J40" s="11">
        <f t="shared" si="1"/>
        <v>2416</v>
      </c>
    </row>
    <row r="41" spans="2:10" ht="18.5" x14ac:dyDescent="0.35">
      <c r="B41" s="5" t="s">
        <v>99</v>
      </c>
      <c r="C41" s="5" t="s">
        <v>13</v>
      </c>
      <c r="D41" s="5" t="s">
        <v>105</v>
      </c>
      <c r="E41" s="5" t="s">
        <v>135</v>
      </c>
      <c r="F41" s="5" t="s">
        <v>90</v>
      </c>
      <c r="G41" s="15" t="s">
        <v>129</v>
      </c>
      <c r="H41" s="5" t="str">
        <f>CONCATENATE(J41,"-утпипу")</f>
        <v>2417-утпипу</v>
      </c>
      <c r="I41" s="5"/>
      <c r="J41" s="11">
        <f t="shared" si="1"/>
        <v>2417</v>
      </c>
    </row>
    <row r="42" spans="2:10" ht="18.5" x14ac:dyDescent="0.35">
      <c r="B42" s="5" t="s">
        <v>30</v>
      </c>
      <c r="C42" s="5" t="s">
        <v>13</v>
      </c>
      <c r="D42" s="5" t="s">
        <v>29</v>
      </c>
      <c r="E42" s="5" t="s">
        <v>127</v>
      </c>
      <c r="F42" s="5" t="s">
        <v>90</v>
      </c>
      <c r="G42" s="15" t="s">
        <v>129</v>
      </c>
      <c r="H42" s="5" t="str">
        <f t="shared" ref="H42:H47" si="4">CONCATENATE(J42,"-утпипу")</f>
        <v>2418-утпипу</v>
      </c>
      <c r="I42" s="5"/>
      <c r="J42" s="11">
        <f t="shared" si="1"/>
        <v>2418</v>
      </c>
    </row>
    <row r="43" spans="2:10" ht="37" x14ac:dyDescent="0.35">
      <c r="B43" s="5" t="s">
        <v>17</v>
      </c>
      <c r="C43" s="5" t="s">
        <v>13</v>
      </c>
      <c r="D43" s="5" t="s">
        <v>29</v>
      </c>
      <c r="E43" s="5" t="s">
        <v>136</v>
      </c>
      <c r="F43" s="5" t="s">
        <v>90</v>
      </c>
      <c r="G43" s="15" t="s">
        <v>129</v>
      </c>
      <c r="H43" s="5" t="str">
        <f t="shared" si="4"/>
        <v>2419-утпипу</v>
      </c>
      <c r="I43" s="5"/>
      <c r="J43" s="11">
        <f t="shared" si="1"/>
        <v>2419</v>
      </c>
    </row>
    <row r="44" spans="2:10" ht="37" x14ac:dyDescent="0.35">
      <c r="B44" s="5" t="s">
        <v>32</v>
      </c>
      <c r="C44" s="5" t="s">
        <v>15</v>
      </c>
      <c r="D44" s="5" t="s">
        <v>139</v>
      </c>
      <c r="E44" s="5" t="s">
        <v>140</v>
      </c>
      <c r="F44" s="5" t="s">
        <v>48</v>
      </c>
      <c r="G44" s="15" t="s">
        <v>129</v>
      </c>
      <c r="H44" s="5" t="str">
        <f t="shared" si="4"/>
        <v>2420-утпипу</v>
      </c>
      <c r="I44" s="5"/>
      <c r="J44" s="11">
        <f t="shared" si="1"/>
        <v>2420</v>
      </c>
    </row>
    <row r="45" spans="2:10" ht="18.5" x14ac:dyDescent="0.35">
      <c r="B45" s="5" t="s">
        <v>32</v>
      </c>
      <c r="C45" s="5" t="s">
        <v>13</v>
      </c>
      <c r="D45" s="5" t="s">
        <v>143</v>
      </c>
      <c r="E45" s="5" t="s">
        <v>142</v>
      </c>
      <c r="F45" s="5" t="s">
        <v>48</v>
      </c>
      <c r="G45" s="15" t="s">
        <v>129</v>
      </c>
      <c r="H45" s="5" t="str">
        <f t="shared" si="4"/>
        <v>2421-утпипу</v>
      </c>
      <c r="I45" s="5"/>
      <c r="J45" s="11">
        <f t="shared" si="1"/>
        <v>2421</v>
      </c>
    </row>
    <row r="46" spans="2:10" ht="18.5" x14ac:dyDescent="0.35">
      <c r="B46" s="5" t="s">
        <v>27</v>
      </c>
      <c r="C46" s="5" t="s">
        <v>13</v>
      </c>
      <c r="D46" s="5" t="s">
        <v>144</v>
      </c>
      <c r="E46" s="5" t="s">
        <v>84</v>
      </c>
      <c r="F46" s="5" t="s">
        <v>48</v>
      </c>
      <c r="G46" s="15" t="s">
        <v>141</v>
      </c>
      <c r="H46" s="5" t="str">
        <f t="shared" si="4"/>
        <v>2422-утпипу</v>
      </c>
      <c r="I46" s="5"/>
      <c r="J46" s="11">
        <f t="shared" si="1"/>
        <v>2422</v>
      </c>
    </row>
    <row r="47" spans="2:10" ht="18.5" x14ac:dyDescent="0.35">
      <c r="B47" s="5" t="s">
        <v>76</v>
      </c>
      <c r="C47" s="5" t="s">
        <v>13</v>
      </c>
      <c r="D47" s="5" t="s">
        <v>93</v>
      </c>
      <c r="E47" s="5" t="s">
        <v>134</v>
      </c>
      <c r="F47" s="5" t="s">
        <v>48</v>
      </c>
      <c r="G47" s="15" t="s">
        <v>141</v>
      </c>
      <c r="H47" s="5" t="str">
        <f t="shared" si="4"/>
        <v>2423-утпипу</v>
      </c>
      <c r="I47" s="5"/>
      <c r="J47" s="11">
        <f t="shared" si="1"/>
        <v>2423</v>
      </c>
    </row>
    <row r="48" spans="2:10" ht="18.5" x14ac:dyDescent="0.35">
      <c r="B48" s="5" t="s">
        <v>27</v>
      </c>
      <c r="C48" s="5" t="s">
        <v>13</v>
      </c>
      <c r="D48" s="5" t="s">
        <v>145</v>
      </c>
      <c r="E48" s="5" t="s">
        <v>137</v>
      </c>
      <c r="F48" s="5" t="s">
        <v>48</v>
      </c>
      <c r="G48" s="15" t="s">
        <v>141</v>
      </c>
      <c r="H48" s="5" t="str">
        <f t="shared" ref="H48:H55" si="5">CONCATENATE(J48,"-утпипу")</f>
        <v>2424-утпипу</v>
      </c>
      <c r="I48" s="5"/>
      <c r="J48" s="11">
        <f t="shared" si="1"/>
        <v>2424</v>
      </c>
    </row>
    <row r="49" spans="2:10" ht="18.5" x14ac:dyDescent="0.35">
      <c r="B49" s="5" t="s">
        <v>27</v>
      </c>
      <c r="C49" s="5" t="s">
        <v>13</v>
      </c>
      <c r="D49" s="5" t="s">
        <v>146</v>
      </c>
      <c r="E49" s="5" t="s">
        <v>138</v>
      </c>
      <c r="F49" s="5" t="s">
        <v>48</v>
      </c>
      <c r="G49" s="15" t="s">
        <v>141</v>
      </c>
      <c r="H49" s="5" t="str">
        <f t="shared" si="5"/>
        <v>2425-утпипу</v>
      </c>
      <c r="I49" s="5"/>
      <c r="J49" s="11">
        <f t="shared" si="1"/>
        <v>2425</v>
      </c>
    </row>
    <row r="50" spans="2:10" ht="18.5" x14ac:dyDescent="0.35">
      <c r="B50" s="28" t="s">
        <v>24</v>
      </c>
      <c r="C50" s="5" t="s">
        <v>13</v>
      </c>
      <c r="D50" s="28" t="s">
        <v>92</v>
      </c>
      <c r="E50" s="28" t="s">
        <v>149</v>
      </c>
      <c r="F50" s="28" t="s">
        <v>90</v>
      </c>
      <c r="G50" s="29" t="s">
        <v>141</v>
      </c>
      <c r="H50" s="28" t="str">
        <f t="shared" si="5"/>
        <v>2426-утпипу</v>
      </c>
      <c r="I50" s="28"/>
      <c r="J50" s="11">
        <f t="shared" si="1"/>
        <v>2426</v>
      </c>
    </row>
    <row r="51" spans="2:10" ht="55.5" x14ac:dyDescent="0.35">
      <c r="B51" s="28" t="s">
        <v>31</v>
      </c>
      <c r="C51" s="5" t="s">
        <v>13</v>
      </c>
      <c r="D51" s="28" t="s">
        <v>73</v>
      </c>
      <c r="E51" s="28" t="s">
        <v>153</v>
      </c>
      <c r="F51" s="28" t="s">
        <v>90</v>
      </c>
      <c r="G51" s="29" t="s">
        <v>141</v>
      </c>
      <c r="H51" s="28" t="str">
        <f t="shared" si="5"/>
        <v>2427-утпипу</v>
      </c>
      <c r="I51" s="28"/>
      <c r="J51" s="11">
        <f t="shared" si="1"/>
        <v>2427</v>
      </c>
    </row>
    <row r="52" spans="2:10" ht="18.5" x14ac:dyDescent="0.35">
      <c r="B52" s="5" t="s">
        <v>22</v>
      </c>
      <c r="C52" s="5" t="s">
        <v>13</v>
      </c>
      <c r="D52" s="5" t="s">
        <v>154</v>
      </c>
      <c r="E52" s="5" t="s">
        <v>155</v>
      </c>
      <c r="F52" s="5" t="s">
        <v>48</v>
      </c>
      <c r="G52" s="15" t="s">
        <v>141</v>
      </c>
      <c r="H52" s="5" t="str">
        <f t="shared" si="5"/>
        <v>2428-утпипу</v>
      </c>
      <c r="I52" s="5"/>
      <c r="J52" s="11">
        <f t="shared" si="1"/>
        <v>2428</v>
      </c>
    </row>
    <row r="53" spans="2:10" ht="18.5" x14ac:dyDescent="0.35">
      <c r="B53" s="5" t="s">
        <v>76</v>
      </c>
      <c r="C53" s="5" t="s">
        <v>13</v>
      </c>
      <c r="D53" s="9" t="s">
        <v>157</v>
      </c>
      <c r="E53" s="5" t="s">
        <v>150</v>
      </c>
      <c r="F53" s="5" t="s">
        <v>48</v>
      </c>
      <c r="G53" s="15" t="s">
        <v>141</v>
      </c>
      <c r="H53" s="5" t="str">
        <f t="shared" si="5"/>
        <v>2429-утпипу</v>
      </c>
      <c r="I53" s="5"/>
      <c r="J53" s="11">
        <f t="shared" si="1"/>
        <v>2429</v>
      </c>
    </row>
    <row r="54" spans="2:10" ht="18.5" x14ac:dyDescent="0.35">
      <c r="B54" s="5" t="s">
        <v>76</v>
      </c>
      <c r="C54" s="5" t="s">
        <v>13</v>
      </c>
      <c r="D54" s="27" t="s">
        <v>151</v>
      </c>
      <c r="E54" s="30" t="s">
        <v>150</v>
      </c>
      <c r="F54" s="5" t="s">
        <v>48</v>
      </c>
      <c r="G54" s="15" t="s">
        <v>141</v>
      </c>
      <c r="H54" s="5" t="str">
        <f t="shared" si="5"/>
        <v>2430-утпипу</v>
      </c>
      <c r="I54" s="5"/>
      <c r="J54" s="11">
        <f t="shared" si="1"/>
        <v>2430</v>
      </c>
    </row>
    <row r="55" spans="2:10" ht="18.5" x14ac:dyDescent="0.35">
      <c r="B55" s="5" t="s">
        <v>76</v>
      </c>
      <c r="C55" s="5" t="s">
        <v>13</v>
      </c>
      <c r="D55" s="9" t="s">
        <v>158</v>
      </c>
      <c r="E55" s="30" t="s">
        <v>152</v>
      </c>
      <c r="F55" s="5" t="s">
        <v>48</v>
      </c>
      <c r="G55" s="15" t="s">
        <v>141</v>
      </c>
      <c r="H55" s="5" t="str">
        <f t="shared" si="5"/>
        <v>2431-утпипу</v>
      </c>
      <c r="I55" s="5"/>
      <c r="J55" s="11">
        <f t="shared" si="1"/>
        <v>2431</v>
      </c>
    </row>
    <row r="56" spans="2:10" ht="37" x14ac:dyDescent="0.35">
      <c r="B56" s="5" t="s">
        <v>24</v>
      </c>
      <c r="C56" s="5" t="s">
        <v>13</v>
      </c>
      <c r="D56" s="5" t="s">
        <v>160</v>
      </c>
      <c r="E56" s="5" t="s">
        <v>159</v>
      </c>
      <c r="F56" s="5" t="s">
        <v>48</v>
      </c>
      <c r="G56" s="15" t="s">
        <v>141</v>
      </c>
      <c r="H56" s="5" t="str">
        <f t="shared" ref="H56:H71" si="6">CONCATENATE(J56,"-утпипу")</f>
        <v>2432-утпипу</v>
      </c>
      <c r="I56" s="5"/>
      <c r="J56" s="11">
        <f t="shared" si="1"/>
        <v>2432</v>
      </c>
    </row>
    <row r="57" spans="2:10" ht="18.5" x14ac:dyDescent="0.35">
      <c r="B57" s="5" t="s">
        <v>99</v>
      </c>
      <c r="C57" s="5" t="s">
        <v>13</v>
      </c>
      <c r="D57" s="5" t="s">
        <v>161</v>
      </c>
      <c r="E57" s="5" t="s">
        <v>162</v>
      </c>
      <c r="F57" s="5" t="s">
        <v>48</v>
      </c>
      <c r="G57" s="15" t="s">
        <v>141</v>
      </c>
      <c r="H57" s="5" t="str">
        <f t="shared" si="6"/>
        <v>2433-утпипу</v>
      </c>
      <c r="I57" s="5"/>
      <c r="J57" s="11">
        <f t="shared" si="1"/>
        <v>2433</v>
      </c>
    </row>
    <row r="58" spans="2:10" ht="37" x14ac:dyDescent="0.35">
      <c r="B58" s="15" t="s">
        <v>24</v>
      </c>
      <c r="C58" s="5" t="s">
        <v>13</v>
      </c>
      <c r="D58" s="5" t="s">
        <v>160</v>
      </c>
      <c r="E58" s="5" t="s">
        <v>164</v>
      </c>
      <c r="F58" s="5" t="s">
        <v>111</v>
      </c>
      <c r="G58" s="15" t="s">
        <v>141</v>
      </c>
      <c r="H58" s="5" t="str">
        <f t="shared" si="6"/>
        <v>2434-утпипу</v>
      </c>
      <c r="I58" s="5"/>
      <c r="J58" s="11">
        <f t="shared" si="1"/>
        <v>2434</v>
      </c>
    </row>
    <row r="59" spans="2:10" ht="37" x14ac:dyDescent="0.35">
      <c r="B59" s="15" t="s">
        <v>24</v>
      </c>
      <c r="C59" s="5" t="s">
        <v>13</v>
      </c>
      <c r="D59" s="5" t="s">
        <v>160</v>
      </c>
      <c r="E59" s="5" t="s">
        <v>165</v>
      </c>
      <c r="F59" s="5" t="s">
        <v>111</v>
      </c>
      <c r="G59" s="15" t="s">
        <v>141</v>
      </c>
      <c r="H59" s="5" t="str">
        <f t="shared" si="6"/>
        <v>2435-утпипу</v>
      </c>
      <c r="I59" s="5"/>
      <c r="J59" s="11">
        <f t="shared" si="1"/>
        <v>2435</v>
      </c>
    </row>
    <row r="60" spans="2:10" ht="18.5" x14ac:dyDescent="0.35">
      <c r="B60" s="28" t="s">
        <v>113</v>
      </c>
      <c r="C60" s="5" t="s">
        <v>13</v>
      </c>
      <c r="D60" s="28" t="s">
        <v>92</v>
      </c>
      <c r="E60" s="28" t="s">
        <v>169</v>
      </c>
      <c r="F60" s="28" t="s">
        <v>48</v>
      </c>
      <c r="G60" s="29" t="s">
        <v>168</v>
      </c>
      <c r="H60" s="28" t="str">
        <f t="shared" si="6"/>
        <v>2436-утпипу</v>
      </c>
      <c r="I60" s="28"/>
      <c r="J60" s="11">
        <f t="shared" si="1"/>
        <v>2436</v>
      </c>
    </row>
    <row r="61" spans="2:10" ht="37" x14ac:dyDescent="0.35">
      <c r="B61" s="28" t="s">
        <v>113</v>
      </c>
      <c r="C61" s="5" t="s">
        <v>13</v>
      </c>
      <c r="D61" s="28" t="s">
        <v>92</v>
      </c>
      <c r="E61" s="28" t="s">
        <v>170</v>
      </c>
      <c r="F61" s="28" t="s">
        <v>48</v>
      </c>
      <c r="G61" s="29" t="s">
        <v>168</v>
      </c>
      <c r="H61" s="28" t="str">
        <f t="shared" si="6"/>
        <v>2437-утпипу</v>
      </c>
      <c r="I61" s="28"/>
      <c r="J61" s="11">
        <f t="shared" si="1"/>
        <v>2437</v>
      </c>
    </row>
    <row r="62" spans="2:10" ht="37" x14ac:dyDescent="0.35">
      <c r="B62" s="28" t="s">
        <v>99</v>
      </c>
      <c r="C62" s="5" t="s">
        <v>13</v>
      </c>
      <c r="D62" s="28" t="s">
        <v>172</v>
      </c>
      <c r="E62" s="28" t="s">
        <v>171</v>
      </c>
      <c r="F62" s="28" t="s">
        <v>48</v>
      </c>
      <c r="G62" s="29" t="s">
        <v>168</v>
      </c>
      <c r="H62" s="28" t="str">
        <f t="shared" si="6"/>
        <v>2438-утпипу</v>
      </c>
      <c r="I62" s="28"/>
      <c r="J62" s="11">
        <f t="shared" si="1"/>
        <v>2438</v>
      </c>
    </row>
    <row r="63" spans="2:10" ht="18.5" x14ac:dyDescent="0.35">
      <c r="B63" s="28" t="s">
        <v>22</v>
      </c>
      <c r="C63" s="28" t="s">
        <v>66</v>
      </c>
      <c r="D63" s="28" t="s">
        <v>173</v>
      </c>
      <c r="E63" s="28" t="s">
        <v>174</v>
      </c>
      <c r="F63" s="28" t="s">
        <v>48</v>
      </c>
      <c r="G63" s="29" t="s">
        <v>168</v>
      </c>
      <c r="H63" s="28" t="str">
        <f t="shared" si="6"/>
        <v>2439-утпипу</v>
      </c>
      <c r="I63" s="28"/>
      <c r="J63" s="11">
        <f t="shared" si="1"/>
        <v>2439</v>
      </c>
    </row>
    <row r="64" spans="2:10" ht="18.5" x14ac:dyDescent="0.35">
      <c r="B64" s="28" t="s">
        <v>22</v>
      </c>
      <c r="C64" s="28" t="s">
        <v>66</v>
      </c>
      <c r="D64" s="28" t="s">
        <v>175</v>
      </c>
      <c r="E64" s="28" t="s">
        <v>176</v>
      </c>
      <c r="F64" s="28" t="s">
        <v>48</v>
      </c>
      <c r="G64" s="29" t="s">
        <v>168</v>
      </c>
      <c r="H64" s="28" t="str">
        <f t="shared" si="6"/>
        <v>2440-утпипу</v>
      </c>
      <c r="I64" s="28"/>
      <c r="J64" s="11">
        <f t="shared" si="1"/>
        <v>2440</v>
      </c>
    </row>
    <row r="65" spans="2:10" ht="37" x14ac:dyDescent="0.35">
      <c r="B65" s="5" t="s">
        <v>16</v>
      </c>
      <c r="C65" s="28" t="s">
        <v>66</v>
      </c>
      <c r="D65" s="5" t="s">
        <v>78</v>
      </c>
      <c r="E65" s="5" t="s">
        <v>177</v>
      </c>
      <c r="F65" s="28" t="s">
        <v>48</v>
      </c>
      <c r="G65" s="15" t="s">
        <v>168</v>
      </c>
      <c r="H65" s="5" t="str">
        <f t="shared" si="6"/>
        <v>2441-утпипу</v>
      </c>
      <c r="I65" s="5"/>
      <c r="J65" s="11">
        <f t="shared" si="1"/>
        <v>2441</v>
      </c>
    </row>
    <row r="66" spans="2:10" ht="37" x14ac:dyDescent="0.35">
      <c r="B66" s="5" t="s">
        <v>99</v>
      </c>
      <c r="C66" s="5" t="s">
        <v>13</v>
      </c>
      <c r="D66" s="5" t="s">
        <v>85</v>
      </c>
      <c r="E66" s="5" t="s">
        <v>148</v>
      </c>
      <c r="F66" s="5" t="s">
        <v>90</v>
      </c>
      <c r="G66" s="15" t="s">
        <v>168</v>
      </c>
      <c r="H66" s="5" t="str">
        <f t="shared" si="6"/>
        <v>2442-утпипу</v>
      </c>
      <c r="I66" s="5"/>
      <c r="J66" s="11">
        <f t="shared" si="1"/>
        <v>2442</v>
      </c>
    </row>
    <row r="67" spans="2:10" ht="18.5" x14ac:dyDescent="0.35">
      <c r="B67" s="5" t="s">
        <v>27</v>
      </c>
      <c r="C67" s="5" t="s">
        <v>13</v>
      </c>
      <c r="D67" s="5" t="s">
        <v>146</v>
      </c>
      <c r="E67" s="5" t="s">
        <v>163</v>
      </c>
      <c r="F67" s="5" t="s">
        <v>48</v>
      </c>
      <c r="G67" s="15" t="s">
        <v>168</v>
      </c>
      <c r="H67" s="5" t="str">
        <f t="shared" si="6"/>
        <v>2443-утпипу</v>
      </c>
      <c r="I67" s="5"/>
      <c r="J67" s="11">
        <f t="shared" si="1"/>
        <v>2443</v>
      </c>
    </row>
    <row r="68" spans="2:10" ht="18.5" x14ac:dyDescent="0.35">
      <c r="B68" s="5" t="s">
        <v>62</v>
      </c>
      <c r="C68" s="5" t="s">
        <v>13</v>
      </c>
      <c r="D68" s="5" t="s">
        <v>178</v>
      </c>
      <c r="E68" s="5" t="s">
        <v>82</v>
      </c>
      <c r="F68" s="5" t="s">
        <v>48</v>
      </c>
      <c r="G68" s="15" t="s">
        <v>168</v>
      </c>
      <c r="H68" s="5" t="str">
        <f t="shared" si="6"/>
        <v>2444-утпипу</v>
      </c>
      <c r="I68" s="5"/>
      <c r="J68" s="11">
        <f t="shared" si="1"/>
        <v>2444</v>
      </c>
    </row>
    <row r="69" spans="2:10" ht="18.5" x14ac:dyDescent="0.35">
      <c r="B69" s="5" t="s">
        <v>31</v>
      </c>
      <c r="C69" s="5" t="s">
        <v>13</v>
      </c>
      <c r="D69" s="5" t="s">
        <v>179</v>
      </c>
      <c r="E69" s="5" t="s">
        <v>167</v>
      </c>
      <c r="F69" s="5" t="s">
        <v>48</v>
      </c>
      <c r="G69" s="15" t="s">
        <v>168</v>
      </c>
      <c r="H69" s="5" t="str">
        <f t="shared" si="6"/>
        <v>2445-утпипу</v>
      </c>
      <c r="I69" s="5"/>
      <c r="J69" s="11">
        <f t="shared" si="1"/>
        <v>2445</v>
      </c>
    </row>
    <row r="70" spans="2:10" ht="18.5" x14ac:dyDescent="0.35">
      <c r="B70" s="5" t="s">
        <v>18</v>
      </c>
      <c r="C70" s="5" t="s">
        <v>13</v>
      </c>
      <c r="D70" s="5" t="s">
        <v>92</v>
      </c>
      <c r="E70" s="5" t="s">
        <v>180</v>
      </c>
      <c r="F70" s="5" t="s">
        <v>90</v>
      </c>
      <c r="G70" s="15" t="s">
        <v>168</v>
      </c>
      <c r="H70" s="5" t="str">
        <f t="shared" si="6"/>
        <v>2446-утпипу</v>
      </c>
      <c r="I70" s="5"/>
      <c r="J70" s="11">
        <f t="shared" si="1"/>
        <v>2446</v>
      </c>
    </row>
    <row r="71" spans="2:10" ht="18.5" x14ac:dyDescent="0.35">
      <c r="B71" s="5" t="s">
        <v>31</v>
      </c>
      <c r="C71" s="5" t="s">
        <v>13</v>
      </c>
      <c r="D71" s="5" t="s">
        <v>181</v>
      </c>
      <c r="E71" s="5" t="s">
        <v>147</v>
      </c>
      <c r="F71" s="5" t="s">
        <v>48</v>
      </c>
      <c r="G71" s="15" t="s">
        <v>168</v>
      </c>
      <c r="H71" s="5" t="str">
        <f t="shared" si="6"/>
        <v>2447-утпипу</v>
      </c>
      <c r="I71" s="5"/>
      <c r="J71" s="11">
        <f t="shared" si="1"/>
        <v>2447</v>
      </c>
    </row>
    <row r="72" spans="2:10" ht="18.5" x14ac:dyDescent="0.35">
      <c r="B72" s="28" t="s">
        <v>30</v>
      </c>
      <c r="C72" s="5" t="s">
        <v>13</v>
      </c>
      <c r="D72" s="28" t="s">
        <v>73</v>
      </c>
      <c r="E72" s="28" t="s">
        <v>166</v>
      </c>
      <c r="F72" s="28" t="s">
        <v>90</v>
      </c>
      <c r="G72" s="29" t="s">
        <v>182</v>
      </c>
      <c r="H72" s="28" t="str">
        <f t="shared" ref="H72:H88" si="7">CONCATENATE(J72,"-утпипу")</f>
        <v>2448-утпипу</v>
      </c>
      <c r="I72" s="28"/>
      <c r="J72" s="11">
        <f t="shared" si="1"/>
        <v>2448</v>
      </c>
    </row>
    <row r="73" spans="2:10" ht="55.5" x14ac:dyDescent="0.35">
      <c r="B73" s="28" t="s">
        <v>20</v>
      </c>
      <c r="C73" s="5" t="s">
        <v>13</v>
      </c>
      <c r="D73" s="28" t="s">
        <v>92</v>
      </c>
      <c r="E73" s="28" t="s">
        <v>183</v>
      </c>
      <c r="F73" s="28" t="s">
        <v>90</v>
      </c>
      <c r="G73" s="29" t="s">
        <v>182</v>
      </c>
      <c r="H73" s="28" t="str">
        <f t="shared" si="7"/>
        <v>2449-утпипу</v>
      </c>
      <c r="I73" s="28"/>
      <c r="J73" s="11">
        <f t="shared" si="1"/>
        <v>2449</v>
      </c>
    </row>
    <row r="74" spans="2:10" ht="37" x14ac:dyDescent="0.35">
      <c r="B74" s="28" t="s">
        <v>20</v>
      </c>
      <c r="C74" s="5" t="s">
        <v>13</v>
      </c>
      <c r="D74" s="28" t="s">
        <v>92</v>
      </c>
      <c r="E74" s="28" t="s">
        <v>190</v>
      </c>
      <c r="F74" s="28" t="s">
        <v>90</v>
      </c>
      <c r="G74" s="29" t="s">
        <v>189</v>
      </c>
      <c r="H74" s="28" t="str">
        <f t="shared" si="7"/>
        <v>2450-утпипу</v>
      </c>
      <c r="I74" s="28"/>
      <c r="J74" s="11">
        <f t="shared" si="1"/>
        <v>2450</v>
      </c>
    </row>
    <row r="75" spans="2:10" ht="18.5" x14ac:dyDescent="0.35">
      <c r="B75" s="28" t="s">
        <v>22</v>
      </c>
      <c r="C75" s="28" t="s">
        <v>15</v>
      </c>
      <c r="D75" s="28" t="s">
        <v>194</v>
      </c>
      <c r="E75" s="28" t="s">
        <v>195</v>
      </c>
      <c r="F75" s="28" t="s">
        <v>48</v>
      </c>
      <c r="G75" s="29" t="s">
        <v>193</v>
      </c>
      <c r="H75" s="28" t="str">
        <f t="shared" si="7"/>
        <v>2451-утпипу</v>
      </c>
      <c r="I75" s="28"/>
      <c r="J75" s="11">
        <f t="shared" si="1"/>
        <v>2451</v>
      </c>
    </row>
    <row r="76" spans="2:10" ht="18.5" x14ac:dyDescent="0.35">
      <c r="B76" s="28" t="s">
        <v>22</v>
      </c>
      <c r="C76" s="28" t="s">
        <v>15</v>
      </c>
      <c r="D76" s="28" t="s">
        <v>197</v>
      </c>
      <c r="E76" s="28" t="s">
        <v>196</v>
      </c>
      <c r="F76" s="28" t="s">
        <v>48</v>
      </c>
      <c r="G76" s="29" t="s">
        <v>193</v>
      </c>
      <c r="H76" s="28" t="str">
        <f t="shared" si="7"/>
        <v>2452-утпипу</v>
      </c>
      <c r="I76" s="28"/>
      <c r="J76" s="11">
        <f t="shared" si="1"/>
        <v>2452</v>
      </c>
    </row>
    <row r="77" spans="2:10" ht="18.5" x14ac:dyDescent="0.35">
      <c r="B77" s="28" t="s">
        <v>32</v>
      </c>
      <c r="C77" s="28" t="s">
        <v>13</v>
      </c>
      <c r="D77" s="28" t="s">
        <v>198</v>
      </c>
      <c r="E77" s="28" t="s">
        <v>45</v>
      </c>
      <c r="F77" s="28" t="s">
        <v>48</v>
      </c>
      <c r="G77" s="29" t="s">
        <v>193</v>
      </c>
      <c r="H77" s="28" t="str">
        <f t="shared" si="7"/>
        <v>2453-утпипу</v>
      </c>
      <c r="I77" s="28"/>
      <c r="J77" s="11">
        <f t="shared" si="1"/>
        <v>2453</v>
      </c>
    </row>
    <row r="78" spans="2:10" ht="18.5" x14ac:dyDescent="0.35">
      <c r="B78" s="28" t="s">
        <v>99</v>
      </c>
      <c r="C78" s="28" t="s">
        <v>15</v>
      </c>
      <c r="D78" s="28" t="s">
        <v>200</v>
      </c>
      <c r="E78" s="28" t="s">
        <v>199</v>
      </c>
      <c r="F78" s="28" t="s">
        <v>48</v>
      </c>
      <c r="G78" s="29" t="s">
        <v>193</v>
      </c>
      <c r="H78" s="28" t="str">
        <f t="shared" si="7"/>
        <v>2454-утпипу</v>
      </c>
      <c r="I78" s="28"/>
      <c r="J78" s="11">
        <f t="shared" si="1"/>
        <v>2454</v>
      </c>
    </row>
    <row r="79" spans="2:10" ht="37" x14ac:dyDescent="0.35">
      <c r="B79" s="28" t="s">
        <v>102</v>
      </c>
      <c r="C79" s="28" t="s">
        <v>13</v>
      </c>
      <c r="D79" s="28" t="s">
        <v>201</v>
      </c>
      <c r="E79" s="28" t="s">
        <v>192</v>
      </c>
      <c r="F79" s="28" t="s">
        <v>48</v>
      </c>
      <c r="G79" s="29" t="s">
        <v>193</v>
      </c>
      <c r="H79" s="28" t="str">
        <f t="shared" si="7"/>
        <v>2455-утпипу</v>
      </c>
      <c r="I79" s="28"/>
      <c r="J79" s="11">
        <f t="shared" si="1"/>
        <v>2455</v>
      </c>
    </row>
    <row r="80" spans="2:10" ht="37" x14ac:dyDescent="0.35">
      <c r="B80" s="28" t="s">
        <v>22</v>
      </c>
      <c r="C80" s="28" t="s">
        <v>13</v>
      </c>
      <c r="D80" s="28" t="s">
        <v>131</v>
      </c>
      <c r="E80" s="28" t="s">
        <v>202</v>
      </c>
      <c r="F80" s="28" t="s">
        <v>48</v>
      </c>
      <c r="G80" s="29" t="s">
        <v>193</v>
      </c>
      <c r="H80" s="28" t="str">
        <f t="shared" si="7"/>
        <v>2456-утпипу</v>
      </c>
      <c r="I80" s="28"/>
      <c r="J80" s="11">
        <f t="shared" si="1"/>
        <v>2456</v>
      </c>
    </row>
    <row r="81" spans="2:10" ht="18.5" x14ac:dyDescent="0.35">
      <c r="B81" s="28" t="s">
        <v>30</v>
      </c>
      <c r="C81" s="28" t="s">
        <v>13</v>
      </c>
      <c r="D81" s="28" t="s">
        <v>73</v>
      </c>
      <c r="E81" s="28" t="s">
        <v>191</v>
      </c>
      <c r="F81" s="28" t="s">
        <v>90</v>
      </c>
      <c r="G81" s="29" t="s">
        <v>193</v>
      </c>
      <c r="H81" s="28" t="str">
        <f t="shared" si="7"/>
        <v>2457-утпипу</v>
      </c>
      <c r="I81" s="28"/>
      <c r="J81" s="11">
        <f t="shared" si="1"/>
        <v>2457</v>
      </c>
    </row>
    <row r="82" spans="2:10" ht="55.5" x14ac:dyDescent="0.35">
      <c r="B82" s="28" t="s">
        <v>99</v>
      </c>
      <c r="C82" s="28" t="s">
        <v>13</v>
      </c>
      <c r="D82" s="28" t="s">
        <v>204</v>
      </c>
      <c r="E82" s="28" t="s">
        <v>206</v>
      </c>
      <c r="F82" s="28" t="s">
        <v>90</v>
      </c>
      <c r="G82" s="29" t="s">
        <v>193</v>
      </c>
      <c r="H82" s="28" t="str">
        <f t="shared" si="7"/>
        <v>2458-утпипу</v>
      </c>
      <c r="I82" s="28"/>
      <c r="J82" s="11">
        <f t="shared" ref="J82:J134" si="8">J81+1</f>
        <v>2458</v>
      </c>
    </row>
    <row r="83" spans="2:10" ht="37" x14ac:dyDescent="0.35">
      <c r="B83" s="28" t="s">
        <v>99</v>
      </c>
      <c r="C83" s="28" t="s">
        <v>13</v>
      </c>
      <c r="D83" s="28" t="s">
        <v>133</v>
      </c>
      <c r="E83" s="28" t="s">
        <v>203</v>
      </c>
      <c r="F83" s="28" t="s">
        <v>48</v>
      </c>
      <c r="G83" s="29" t="s">
        <v>193</v>
      </c>
      <c r="H83" s="28" t="str">
        <f t="shared" si="7"/>
        <v>2459-утпипу</v>
      </c>
      <c r="I83" s="28"/>
      <c r="J83" s="11">
        <f t="shared" si="8"/>
        <v>2459</v>
      </c>
    </row>
    <row r="84" spans="2:10" ht="18.5" x14ac:dyDescent="0.35">
      <c r="B84" s="28" t="s">
        <v>99</v>
      </c>
      <c r="C84" s="28" t="s">
        <v>13</v>
      </c>
      <c r="D84" s="28" t="s">
        <v>205</v>
      </c>
      <c r="E84" s="28" t="s">
        <v>188</v>
      </c>
      <c r="F84" s="28" t="s">
        <v>48</v>
      </c>
      <c r="G84" s="29" t="s">
        <v>193</v>
      </c>
      <c r="H84" s="28" t="str">
        <f t="shared" si="7"/>
        <v>2460-утпипу</v>
      </c>
      <c r="I84" s="28"/>
      <c r="J84" s="11">
        <f t="shared" si="8"/>
        <v>2460</v>
      </c>
    </row>
    <row r="85" spans="2:10" ht="37" x14ac:dyDescent="0.35">
      <c r="B85" s="28" t="s">
        <v>99</v>
      </c>
      <c r="C85" s="28" t="s">
        <v>13</v>
      </c>
      <c r="D85" s="28" t="s">
        <v>205</v>
      </c>
      <c r="E85" s="28" t="s">
        <v>186</v>
      </c>
      <c r="F85" s="28" t="s">
        <v>48</v>
      </c>
      <c r="G85" s="29" t="s">
        <v>193</v>
      </c>
      <c r="H85" s="28" t="str">
        <f t="shared" si="7"/>
        <v>2461-утпипу</v>
      </c>
      <c r="I85" s="28"/>
      <c r="J85" s="11">
        <f t="shared" si="8"/>
        <v>2461</v>
      </c>
    </row>
    <row r="86" spans="2:10" ht="18.5" x14ac:dyDescent="0.35">
      <c r="B86" s="28" t="s">
        <v>32</v>
      </c>
      <c r="C86" s="28" t="s">
        <v>13</v>
      </c>
      <c r="D86" s="28" t="s">
        <v>208</v>
      </c>
      <c r="E86" s="28" t="s">
        <v>209</v>
      </c>
      <c r="F86" s="28" t="s">
        <v>48</v>
      </c>
      <c r="G86" s="29" t="s">
        <v>193</v>
      </c>
      <c r="H86" s="28" t="str">
        <f t="shared" si="7"/>
        <v>2462-утпипу</v>
      </c>
      <c r="I86" s="28"/>
      <c r="J86" s="11">
        <f t="shared" si="8"/>
        <v>2462</v>
      </c>
    </row>
    <row r="87" spans="2:10" ht="37" x14ac:dyDescent="0.35">
      <c r="B87" s="28" t="s">
        <v>32</v>
      </c>
      <c r="C87" s="28" t="s">
        <v>13</v>
      </c>
      <c r="D87" s="28" t="s">
        <v>210</v>
      </c>
      <c r="E87" s="28" t="s">
        <v>122</v>
      </c>
      <c r="F87" s="28" t="s">
        <v>48</v>
      </c>
      <c r="G87" s="29" t="s">
        <v>193</v>
      </c>
      <c r="H87" s="28" t="str">
        <f t="shared" si="7"/>
        <v>2463-утпипу</v>
      </c>
      <c r="I87" s="28"/>
      <c r="J87" s="11">
        <f t="shared" si="8"/>
        <v>2463</v>
      </c>
    </row>
    <row r="88" spans="2:10" ht="18.5" x14ac:dyDescent="0.35">
      <c r="B88" s="28" t="s">
        <v>16</v>
      </c>
      <c r="C88" s="28" t="s">
        <v>13</v>
      </c>
      <c r="D88" s="28" t="s">
        <v>78</v>
      </c>
      <c r="E88" s="28" t="s">
        <v>211</v>
      </c>
      <c r="F88" s="28" t="s">
        <v>90</v>
      </c>
      <c r="G88" s="29" t="s">
        <v>193</v>
      </c>
      <c r="H88" s="28" t="str">
        <f t="shared" si="7"/>
        <v>2464-утпипу</v>
      </c>
      <c r="I88" s="28"/>
      <c r="J88" s="11">
        <f t="shared" si="8"/>
        <v>2464</v>
      </c>
    </row>
    <row r="89" spans="2:10" ht="37" x14ac:dyDescent="0.35">
      <c r="B89" s="28" t="s">
        <v>27</v>
      </c>
      <c r="C89" s="28" t="s">
        <v>13</v>
      </c>
      <c r="D89" s="28" t="s">
        <v>214</v>
      </c>
      <c r="E89" s="28" t="s">
        <v>213</v>
      </c>
      <c r="F89" s="28" t="s">
        <v>48</v>
      </c>
      <c r="G89" s="29" t="s">
        <v>212</v>
      </c>
      <c r="H89" s="28" t="str">
        <f t="shared" ref="H89:H97" si="9">CONCATENATE(J89,"-утпипу")</f>
        <v>2465-утпипу</v>
      </c>
      <c r="I89" s="28"/>
      <c r="J89" s="11">
        <f t="shared" si="8"/>
        <v>2465</v>
      </c>
    </row>
    <row r="90" spans="2:10" ht="37" x14ac:dyDescent="0.35">
      <c r="B90" s="28" t="s">
        <v>102</v>
      </c>
      <c r="C90" s="28" t="s">
        <v>13</v>
      </c>
      <c r="D90" s="28" t="s">
        <v>216</v>
      </c>
      <c r="E90" s="28" t="s">
        <v>215</v>
      </c>
      <c r="F90" s="28" t="s">
        <v>48</v>
      </c>
      <c r="G90" s="29" t="s">
        <v>212</v>
      </c>
      <c r="H90" s="28" t="str">
        <f t="shared" si="9"/>
        <v>2466-утпипу</v>
      </c>
      <c r="I90" s="28"/>
      <c r="J90" s="11">
        <f t="shared" si="8"/>
        <v>2466</v>
      </c>
    </row>
    <row r="91" spans="2:10" ht="18.5" x14ac:dyDescent="0.35">
      <c r="B91" s="28" t="s">
        <v>25</v>
      </c>
      <c r="C91" s="28" t="s">
        <v>13</v>
      </c>
      <c r="D91" s="28" t="s">
        <v>217</v>
      </c>
      <c r="E91" s="28" t="s">
        <v>218</v>
      </c>
      <c r="F91" s="28" t="s">
        <v>48</v>
      </c>
      <c r="G91" s="29" t="s">
        <v>212</v>
      </c>
      <c r="H91" s="28" t="str">
        <f t="shared" si="9"/>
        <v>2467-утпипу</v>
      </c>
      <c r="I91" s="28"/>
      <c r="J91" s="11">
        <f t="shared" si="8"/>
        <v>2467</v>
      </c>
    </row>
    <row r="92" spans="2:10" ht="18.5" x14ac:dyDescent="0.35">
      <c r="B92" s="28" t="s">
        <v>25</v>
      </c>
      <c r="C92" s="28" t="s">
        <v>13</v>
      </c>
      <c r="D92" s="28" t="s">
        <v>217</v>
      </c>
      <c r="E92" s="28" t="s">
        <v>219</v>
      </c>
      <c r="F92" s="28" t="s">
        <v>48</v>
      </c>
      <c r="G92" s="29" t="s">
        <v>212</v>
      </c>
      <c r="H92" s="28" t="str">
        <f t="shared" si="9"/>
        <v>2468-утпипу</v>
      </c>
      <c r="I92" s="28"/>
      <c r="J92" s="11">
        <f t="shared" si="8"/>
        <v>2468</v>
      </c>
    </row>
    <row r="93" spans="2:10" ht="37" x14ac:dyDescent="0.35">
      <c r="B93" s="28" t="s">
        <v>27</v>
      </c>
      <c r="C93" s="28" t="s">
        <v>13</v>
      </c>
      <c r="D93" s="28" t="s">
        <v>146</v>
      </c>
      <c r="E93" s="28" t="s">
        <v>220</v>
      </c>
      <c r="F93" s="28" t="s">
        <v>48</v>
      </c>
      <c r="G93" s="29" t="s">
        <v>212</v>
      </c>
      <c r="H93" s="28" t="str">
        <f t="shared" si="9"/>
        <v>2469-утпипу</v>
      </c>
      <c r="I93" s="28"/>
      <c r="J93" s="11">
        <f t="shared" si="8"/>
        <v>2469</v>
      </c>
    </row>
    <row r="94" spans="2:10" ht="18.5" x14ac:dyDescent="0.35">
      <c r="B94" s="28" t="s">
        <v>76</v>
      </c>
      <c r="C94" s="28" t="s">
        <v>13</v>
      </c>
      <c r="D94" s="28" t="s">
        <v>222</v>
      </c>
      <c r="E94" s="28" t="s">
        <v>221</v>
      </c>
      <c r="F94" s="28" t="s">
        <v>48</v>
      </c>
      <c r="G94" s="29" t="s">
        <v>212</v>
      </c>
      <c r="H94" s="28" t="str">
        <f t="shared" si="9"/>
        <v>2470-утпипу</v>
      </c>
      <c r="I94" s="28"/>
      <c r="J94" s="11">
        <f t="shared" si="8"/>
        <v>2470</v>
      </c>
    </row>
    <row r="95" spans="2:10" ht="18.5" x14ac:dyDescent="0.35">
      <c r="B95" s="28" t="s">
        <v>28</v>
      </c>
      <c r="C95" s="28" t="s">
        <v>13</v>
      </c>
      <c r="D95" s="28" t="s">
        <v>224</v>
      </c>
      <c r="E95" s="28" t="s">
        <v>223</v>
      </c>
      <c r="F95" s="28" t="s">
        <v>48</v>
      </c>
      <c r="G95" s="29" t="s">
        <v>212</v>
      </c>
      <c r="H95" s="28" t="str">
        <f t="shared" si="9"/>
        <v>2471-утпипу</v>
      </c>
      <c r="I95" s="28"/>
      <c r="J95" s="11">
        <f t="shared" si="8"/>
        <v>2471</v>
      </c>
    </row>
    <row r="96" spans="2:10" ht="18.5" x14ac:dyDescent="0.35">
      <c r="B96" s="28" t="s">
        <v>12</v>
      </c>
      <c r="C96" s="28" t="s">
        <v>13</v>
      </c>
      <c r="D96" s="28" t="s">
        <v>226</v>
      </c>
      <c r="E96" s="28" t="s">
        <v>225</v>
      </c>
      <c r="F96" s="28" t="s">
        <v>48</v>
      </c>
      <c r="G96" s="29" t="s">
        <v>212</v>
      </c>
      <c r="H96" s="28" t="str">
        <f t="shared" si="9"/>
        <v>2472-утпипу</v>
      </c>
      <c r="I96" s="28"/>
      <c r="J96" s="11">
        <f t="shared" si="8"/>
        <v>2472</v>
      </c>
    </row>
    <row r="97" spans="2:10" ht="37" x14ac:dyDescent="0.35">
      <c r="B97" s="28" t="s">
        <v>32</v>
      </c>
      <c r="C97" s="28" t="s">
        <v>13</v>
      </c>
      <c r="D97" s="28" t="s">
        <v>85</v>
      </c>
      <c r="E97" s="28" t="s">
        <v>228</v>
      </c>
      <c r="F97" s="5" t="s">
        <v>364</v>
      </c>
      <c r="G97" s="29" t="s">
        <v>212</v>
      </c>
      <c r="H97" s="28" t="str">
        <f t="shared" si="9"/>
        <v>2473-утпипу</v>
      </c>
      <c r="I97" s="28"/>
      <c r="J97" s="11">
        <f t="shared" si="8"/>
        <v>2473</v>
      </c>
    </row>
    <row r="98" spans="2:10" ht="37" x14ac:dyDescent="0.35">
      <c r="B98" s="28" t="s">
        <v>22</v>
      </c>
      <c r="C98" s="28" t="s">
        <v>13</v>
      </c>
      <c r="D98" s="28" t="s">
        <v>239</v>
      </c>
      <c r="E98" s="28" t="s">
        <v>234</v>
      </c>
      <c r="F98" s="28" t="s">
        <v>48</v>
      </c>
      <c r="G98" s="29" t="s">
        <v>237</v>
      </c>
      <c r="H98" s="28" t="str">
        <f t="shared" ref="H98:H110" si="10">CONCATENATE(J98,"-утпипу")</f>
        <v>2474-утпипу</v>
      </c>
      <c r="I98" s="28"/>
      <c r="J98" s="11">
        <f t="shared" si="8"/>
        <v>2474</v>
      </c>
    </row>
    <row r="99" spans="2:10" ht="37" x14ac:dyDescent="0.35">
      <c r="B99" s="28" t="s">
        <v>25</v>
      </c>
      <c r="C99" s="28" t="s">
        <v>13</v>
      </c>
      <c r="D99" s="28" t="s">
        <v>241</v>
      </c>
      <c r="E99" s="28" t="s">
        <v>240</v>
      </c>
      <c r="F99" s="28" t="s">
        <v>48</v>
      </c>
      <c r="G99" s="29" t="s">
        <v>237</v>
      </c>
      <c r="H99" s="28" t="str">
        <f t="shared" si="10"/>
        <v>2475-утпипу</v>
      </c>
      <c r="I99" s="28"/>
      <c r="J99" s="11">
        <f t="shared" si="8"/>
        <v>2475</v>
      </c>
    </row>
    <row r="100" spans="2:10" ht="18.5" x14ac:dyDescent="0.35">
      <c r="B100" s="28" t="s">
        <v>32</v>
      </c>
      <c r="C100" s="28" t="s">
        <v>13</v>
      </c>
      <c r="D100" s="28" t="s">
        <v>242</v>
      </c>
      <c r="E100" s="28" t="s">
        <v>227</v>
      </c>
      <c r="F100" s="28" t="s">
        <v>48</v>
      </c>
      <c r="G100" s="29" t="s">
        <v>237</v>
      </c>
      <c r="H100" s="28" t="str">
        <f t="shared" si="10"/>
        <v>2476-утпипу</v>
      </c>
      <c r="I100" s="28"/>
      <c r="J100" s="11">
        <f t="shared" si="8"/>
        <v>2476</v>
      </c>
    </row>
    <row r="101" spans="2:10" ht="18.5" x14ac:dyDescent="0.35">
      <c r="B101" s="28" t="s">
        <v>31</v>
      </c>
      <c r="C101" s="28" t="s">
        <v>13</v>
      </c>
      <c r="D101" s="28" t="s">
        <v>243</v>
      </c>
      <c r="E101" s="28" t="s">
        <v>236</v>
      </c>
      <c r="F101" s="28" t="s">
        <v>48</v>
      </c>
      <c r="G101" s="29" t="s">
        <v>237</v>
      </c>
      <c r="H101" s="28" t="str">
        <f t="shared" si="10"/>
        <v>2477-утпипу</v>
      </c>
      <c r="I101" s="28"/>
      <c r="J101" s="11">
        <f t="shared" si="8"/>
        <v>2477</v>
      </c>
    </row>
    <row r="102" spans="2:10" ht="37" x14ac:dyDescent="0.35">
      <c r="B102" s="28" t="s">
        <v>99</v>
      </c>
      <c r="C102" s="28" t="s">
        <v>13</v>
      </c>
      <c r="D102" s="28" t="s">
        <v>244</v>
      </c>
      <c r="E102" s="28" t="s">
        <v>245</v>
      </c>
      <c r="F102" s="28" t="s">
        <v>48</v>
      </c>
      <c r="G102" s="29" t="s">
        <v>237</v>
      </c>
      <c r="H102" s="28" t="str">
        <f t="shared" si="10"/>
        <v>2478-утпипу</v>
      </c>
      <c r="I102" s="28"/>
      <c r="J102" s="11">
        <f t="shared" si="8"/>
        <v>2478</v>
      </c>
    </row>
    <row r="103" spans="2:10" ht="55.5" x14ac:dyDescent="0.35">
      <c r="B103" s="28" t="s">
        <v>62</v>
      </c>
      <c r="C103" s="28" t="s">
        <v>13</v>
      </c>
      <c r="D103" s="28" t="s">
        <v>178</v>
      </c>
      <c r="E103" s="28" t="s">
        <v>246</v>
      </c>
      <c r="F103" s="28" t="s">
        <v>90</v>
      </c>
      <c r="G103" s="29" t="s">
        <v>237</v>
      </c>
      <c r="H103" s="28" t="str">
        <f t="shared" si="10"/>
        <v>2479-утпипу</v>
      </c>
      <c r="I103" s="28"/>
      <c r="J103" s="11">
        <f t="shared" si="8"/>
        <v>2479</v>
      </c>
    </row>
    <row r="104" spans="2:10" ht="18.5" x14ac:dyDescent="0.35">
      <c r="B104" s="28" t="s">
        <v>30</v>
      </c>
      <c r="C104" s="28" t="s">
        <v>13</v>
      </c>
      <c r="D104" s="28" t="s">
        <v>73</v>
      </c>
      <c r="E104" s="28" t="s">
        <v>247</v>
      </c>
      <c r="F104" s="28" t="s">
        <v>90</v>
      </c>
      <c r="G104" s="29" t="s">
        <v>237</v>
      </c>
      <c r="H104" s="28" t="str">
        <f t="shared" si="10"/>
        <v>2480-утпипу</v>
      </c>
      <c r="I104" s="28"/>
      <c r="J104" s="11">
        <f t="shared" si="8"/>
        <v>2480</v>
      </c>
    </row>
    <row r="105" spans="2:10" ht="37" x14ac:dyDescent="0.35">
      <c r="B105" s="28" t="s">
        <v>31</v>
      </c>
      <c r="C105" s="28" t="s">
        <v>13</v>
      </c>
      <c r="D105" s="28" t="s">
        <v>92</v>
      </c>
      <c r="E105" s="28" t="s">
        <v>248</v>
      </c>
      <c r="F105" s="28" t="s">
        <v>90</v>
      </c>
      <c r="G105" s="29" t="s">
        <v>237</v>
      </c>
      <c r="H105" s="28" t="str">
        <f t="shared" si="10"/>
        <v>2481-утпипу</v>
      </c>
      <c r="I105" s="28"/>
      <c r="J105" s="11">
        <f t="shared" si="8"/>
        <v>2481</v>
      </c>
    </row>
    <row r="106" spans="2:10" ht="55.5" x14ac:dyDescent="0.35">
      <c r="B106" s="28" t="s">
        <v>20</v>
      </c>
      <c r="C106" s="28" t="s">
        <v>13</v>
      </c>
      <c r="D106" s="28" t="s">
        <v>92</v>
      </c>
      <c r="E106" s="28" t="s">
        <v>249</v>
      </c>
      <c r="F106" s="28" t="s">
        <v>90</v>
      </c>
      <c r="G106" s="29" t="s">
        <v>237</v>
      </c>
      <c r="H106" s="28" t="str">
        <f t="shared" si="10"/>
        <v>2482-утпипу</v>
      </c>
      <c r="I106" s="28"/>
      <c r="J106" s="11">
        <f t="shared" si="8"/>
        <v>2482</v>
      </c>
    </row>
    <row r="107" spans="2:10" ht="18.5" x14ac:dyDescent="0.35">
      <c r="B107" s="28" t="s">
        <v>76</v>
      </c>
      <c r="C107" s="28" t="s">
        <v>13</v>
      </c>
      <c r="D107" s="28" t="s">
        <v>78</v>
      </c>
      <c r="E107" s="28" t="s">
        <v>250</v>
      </c>
      <c r="F107" s="28" t="s">
        <v>90</v>
      </c>
      <c r="G107" s="29" t="s">
        <v>237</v>
      </c>
      <c r="H107" s="28" t="str">
        <f t="shared" si="10"/>
        <v>2483-утпипу</v>
      </c>
      <c r="I107" s="28"/>
      <c r="J107" s="11">
        <f t="shared" si="8"/>
        <v>2483</v>
      </c>
    </row>
    <row r="108" spans="2:10" ht="55.5" x14ac:dyDescent="0.35">
      <c r="B108" s="28" t="s">
        <v>20</v>
      </c>
      <c r="C108" s="28" t="s">
        <v>13</v>
      </c>
      <c r="D108" s="28" t="s">
        <v>92</v>
      </c>
      <c r="E108" s="28" t="s">
        <v>252</v>
      </c>
      <c r="F108" s="28" t="s">
        <v>90</v>
      </c>
      <c r="G108" s="29" t="s">
        <v>237</v>
      </c>
      <c r="H108" s="28" t="str">
        <f t="shared" si="10"/>
        <v>2484-утпипу</v>
      </c>
      <c r="I108" s="28"/>
      <c r="J108" s="11">
        <f t="shared" si="8"/>
        <v>2484</v>
      </c>
    </row>
    <row r="109" spans="2:10" ht="37" x14ac:dyDescent="0.35">
      <c r="B109" s="28" t="s">
        <v>14</v>
      </c>
      <c r="C109" s="28" t="s">
        <v>13</v>
      </c>
      <c r="D109" s="28" t="s">
        <v>78</v>
      </c>
      <c r="E109" s="28" t="s">
        <v>253</v>
      </c>
      <c r="F109" s="28" t="s">
        <v>90</v>
      </c>
      <c r="G109" s="29" t="s">
        <v>237</v>
      </c>
      <c r="H109" s="28" t="str">
        <f t="shared" si="10"/>
        <v>2485-утпипу</v>
      </c>
      <c r="I109" s="28"/>
      <c r="J109" s="11">
        <f t="shared" si="8"/>
        <v>2485</v>
      </c>
    </row>
    <row r="110" spans="2:10" ht="37" x14ac:dyDescent="0.35">
      <c r="B110" s="5" t="s">
        <v>99</v>
      </c>
      <c r="C110" s="28" t="s">
        <v>13</v>
      </c>
      <c r="D110" s="5" t="s">
        <v>29</v>
      </c>
      <c r="E110" s="5" t="s">
        <v>255</v>
      </c>
      <c r="F110" s="28" t="s">
        <v>90</v>
      </c>
      <c r="G110" s="15" t="s">
        <v>237</v>
      </c>
      <c r="H110" s="5" t="str">
        <f t="shared" si="10"/>
        <v>2486-утпипу</v>
      </c>
      <c r="I110" s="5"/>
      <c r="J110" s="11">
        <f t="shared" si="8"/>
        <v>2486</v>
      </c>
    </row>
    <row r="111" spans="2:10" ht="37" x14ac:dyDescent="0.35">
      <c r="B111" s="5" t="s">
        <v>22</v>
      </c>
      <c r="C111" s="5" t="s">
        <v>66</v>
      </c>
      <c r="D111" s="5" t="s">
        <v>257</v>
      </c>
      <c r="E111" s="5" t="s">
        <v>258</v>
      </c>
      <c r="F111" s="5" t="s">
        <v>48</v>
      </c>
      <c r="G111" s="15" t="s">
        <v>256</v>
      </c>
      <c r="H111" s="5" t="str">
        <f t="shared" ref="H111:H125" si="11">CONCATENATE(J111,"-утпипу")</f>
        <v>2487-утпипу</v>
      </c>
      <c r="I111" s="5"/>
      <c r="J111" s="11">
        <f t="shared" si="8"/>
        <v>2487</v>
      </c>
    </row>
    <row r="112" spans="2:10" ht="18.5" x14ac:dyDescent="0.35">
      <c r="B112" s="5" t="s">
        <v>17</v>
      </c>
      <c r="C112" s="5" t="s">
        <v>13</v>
      </c>
      <c r="D112" s="5" t="s">
        <v>29</v>
      </c>
      <c r="E112" s="5" t="s">
        <v>267</v>
      </c>
      <c r="F112" s="5" t="s">
        <v>90</v>
      </c>
      <c r="G112" s="15" t="s">
        <v>256</v>
      </c>
      <c r="H112" s="5" t="str">
        <f t="shared" si="11"/>
        <v>2488-утпипу</v>
      </c>
      <c r="I112" s="5"/>
      <c r="J112" s="11">
        <f t="shared" si="8"/>
        <v>2488</v>
      </c>
    </row>
    <row r="113" spans="2:10" ht="18.5" x14ac:dyDescent="0.35">
      <c r="B113" s="28" t="s">
        <v>31</v>
      </c>
      <c r="C113" s="5" t="s">
        <v>13</v>
      </c>
      <c r="D113" s="28" t="s">
        <v>187</v>
      </c>
      <c r="E113" s="28" t="s">
        <v>269</v>
      </c>
      <c r="F113" s="28" t="s">
        <v>48</v>
      </c>
      <c r="G113" s="29" t="s">
        <v>268</v>
      </c>
      <c r="H113" s="28" t="str">
        <f t="shared" si="11"/>
        <v>2489-утпипу</v>
      </c>
      <c r="I113" s="28"/>
      <c r="J113" s="11">
        <f t="shared" si="8"/>
        <v>2489</v>
      </c>
    </row>
    <row r="114" spans="2:10" ht="37" x14ac:dyDescent="0.35">
      <c r="B114" s="5" t="s">
        <v>32</v>
      </c>
      <c r="C114" s="5" t="s">
        <v>13</v>
      </c>
      <c r="D114" s="5" t="s">
        <v>270</v>
      </c>
      <c r="E114" s="5" t="s">
        <v>251</v>
      </c>
      <c r="F114" s="28" t="s">
        <v>48</v>
      </c>
      <c r="G114" s="15" t="s">
        <v>268</v>
      </c>
      <c r="H114" s="5" t="str">
        <f t="shared" si="11"/>
        <v>2490-утпипу</v>
      </c>
      <c r="I114" s="5"/>
      <c r="J114" s="11">
        <f t="shared" si="8"/>
        <v>2490</v>
      </c>
    </row>
    <row r="115" spans="2:10" ht="18.5" x14ac:dyDescent="0.35">
      <c r="B115" s="5" t="s">
        <v>27</v>
      </c>
      <c r="C115" s="5" t="s">
        <v>13</v>
      </c>
      <c r="D115" s="5" t="s">
        <v>146</v>
      </c>
      <c r="E115" s="5" t="s">
        <v>238</v>
      </c>
      <c r="F115" s="28" t="s">
        <v>48</v>
      </c>
      <c r="G115" s="15" t="s">
        <v>268</v>
      </c>
      <c r="H115" s="5" t="str">
        <f t="shared" si="11"/>
        <v>2491-утпипу</v>
      </c>
      <c r="I115" s="5"/>
      <c r="J115" s="11">
        <f t="shared" si="8"/>
        <v>2491</v>
      </c>
    </row>
    <row r="116" spans="2:10" ht="55.5" x14ac:dyDescent="0.35">
      <c r="B116" s="5" t="s">
        <v>22</v>
      </c>
      <c r="C116" s="5" t="s">
        <v>13</v>
      </c>
      <c r="D116" s="5" t="s">
        <v>173</v>
      </c>
      <c r="E116" s="5" t="s">
        <v>254</v>
      </c>
      <c r="F116" s="28" t="s">
        <v>48</v>
      </c>
      <c r="G116" s="15" t="s">
        <v>268</v>
      </c>
      <c r="H116" s="5" t="str">
        <f t="shared" si="11"/>
        <v>2492-утпипу</v>
      </c>
      <c r="I116" s="5"/>
      <c r="J116" s="11">
        <f t="shared" si="8"/>
        <v>2492</v>
      </c>
    </row>
    <row r="117" spans="2:10" ht="18.5" x14ac:dyDescent="0.35">
      <c r="B117" s="5" t="s">
        <v>31</v>
      </c>
      <c r="C117" s="5" t="s">
        <v>13</v>
      </c>
      <c r="D117" s="5" t="s">
        <v>198</v>
      </c>
      <c r="E117" s="5" t="s">
        <v>265</v>
      </c>
      <c r="F117" s="5" t="s">
        <v>48</v>
      </c>
      <c r="G117" s="15" t="s">
        <v>268</v>
      </c>
      <c r="H117" s="5" t="str">
        <f t="shared" si="11"/>
        <v>2493-утпипу</v>
      </c>
      <c r="I117" s="5"/>
      <c r="J117" s="11">
        <f t="shared" si="8"/>
        <v>2493</v>
      </c>
    </row>
    <row r="118" spans="2:10" ht="18.5" x14ac:dyDescent="0.35">
      <c r="B118" s="5" t="s">
        <v>31</v>
      </c>
      <c r="C118" s="5" t="s">
        <v>13</v>
      </c>
      <c r="D118" s="5" t="s">
        <v>205</v>
      </c>
      <c r="E118" s="5" t="s">
        <v>266</v>
      </c>
      <c r="F118" s="5" t="s">
        <v>48</v>
      </c>
      <c r="G118" s="15" t="s">
        <v>268</v>
      </c>
      <c r="H118" s="5" t="str">
        <f t="shared" si="11"/>
        <v>2494-утпипу</v>
      </c>
      <c r="I118" s="5"/>
      <c r="J118" s="11">
        <f t="shared" si="8"/>
        <v>2494</v>
      </c>
    </row>
    <row r="119" spans="2:10" ht="55.5" x14ac:dyDescent="0.35">
      <c r="B119" s="5" t="s">
        <v>27</v>
      </c>
      <c r="C119" s="5" t="s">
        <v>13</v>
      </c>
      <c r="D119" s="5" t="s">
        <v>70</v>
      </c>
      <c r="E119" s="5" t="s">
        <v>261</v>
      </c>
      <c r="F119" s="5" t="s">
        <v>48</v>
      </c>
      <c r="G119" s="15" t="s">
        <v>268</v>
      </c>
      <c r="H119" s="5" t="str">
        <f t="shared" si="11"/>
        <v>2495-утпипу</v>
      </c>
      <c r="I119" s="5"/>
      <c r="J119" s="11">
        <f t="shared" si="8"/>
        <v>2495</v>
      </c>
    </row>
    <row r="120" spans="2:10" ht="55.5" x14ac:dyDescent="0.35">
      <c r="B120" s="5" t="s">
        <v>62</v>
      </c>
      <c r="C120" s="5" t="s">
        <v>13</v>
      </c>
      <c r="D120" s="5" t="s">
        <v>271</v>
      </c>
      <c r="E120" s="5" t="s">
        <v>272</v>
      </c>
      <c r="F120" s="5" t="s">
        <v>111</v>
      </c>
      <c r="G120" s="15">
        <v>42396</v>
      </c>
      <c r="H120" s="5" t="str">
        <f t="shared" si="11"/>
        <v>2496-утпипу</v>
      </c>
      <c r="I120" s="5"/>
      <c r="J120" s="11">
        <f t="shared" si="8"/>
        <v>2496</v>
      </c>
    </row>
    <row r="121" spans="2:10" ht="18.5" x14ac:dyDescent="0.35">
      <c r="B121" s="5" t="s">
        <v>30</v>
      </c>
      <c r="C121" s="5" t="s">
        <v>13</v>
      </c>
      <c r="D121" s="5" t="s">
        <v>73</v>
      </c>
      <c r="E121" s="5" t="s">
        <v>273</v>
      </c>
      <c r="F121" s="5" t="s">
        <v>90</v>
      </c>
      <c r="G121" s="15" t="s">
        <v>268</v>
      </c>
      <c r="H121" s="5" t="str">
        <f t="shared" si="11"/>
        <v>2497-утпипу</v>
      </c>
      <c r="I121" s="5"/>
      <c r="J121" s="11">
        <f t="shared" si="8"/>
        <v>2497</v>
      </c>
    </row>
    <row r="122" spans="2:10" ht="18.5" x14ac:dyDescent="0.35">
      <c r="B122" s="5" t="s">
        <v>21</v>
      </c>
      <c r="C122" s="5" t="s">
        <v>13</v>
      </c>
      <c r="D122" s="5" t="s">
        <v>92</v>
      </c>
      <c r="E122" s="5" t="s">
        <v>274</v>
      </c>
      <c r="F122" s="5" t="s">
        <v>90</v>
      </c>
      <c r="G122" s="15" t="s">
        <v>268</v>
      </c>
      <c r="H122" s="5" t="str">
        <f t="shared" si="11"/>
        <v>2498-утпипу</v>
      </c>
      <c r="I122" s="5"/>
      <c r="J122" s="11">
        <f t="shared" si="8"/>
        <v>2498</v>
      </c>
    </row>
    <row r="123" spans="2:10" ht="18.5" x14ac:dyDescent="0.35">
      <c r="B123" s="5" t="s">
        <v>25</v>
      </c>
      <c r="C123" s="5" t="s">
        <v>13</v>
      </c>
      <c r="D123" s="5" t="s">
        <v>92</v>
      </c>
      <c r="E123" s="5" t="s">
        <v>275</v>
      </c>
      <c r="F123" s="5" t="s">
        <v>48</v>
      </c>
      <c r="G123" s="15" t="s">
        <v>268</v>
      </c>
      <c r="H123" s="5" t="str">
        <f t="shared" si="11"/>
        <v>2499-утпипу</v>
      </c>
      <c r="I123" s="5"/>
      <c r="J123" s="11">
        <f t="shared" si="8"/>
        <v>2499</v>
      </c>
    </row>
    <row r="124" spans="2:10" ht="18.5" x14ac:dyDescent="0.35">
      <c r="B124" s="5" t="s">
        <v>27</v>
      </c>
      <c r="C124" s="5" t="s">
        <v>13</v>
      </c>
      <c r="D124" s="5" t="s">
        <v>70</v>
      </c>
      <c r="E124" s="5" t="s">
        <v>276</v>
      </c>
      <c r="F124" s="5" t="s">
        <v>48</v>
      </c>
      <c r="G124" s="15" t="s">
        <v>268</v>
      </c>
      <c r="H124" s="5" t="str">
        <f t="shared" si="11"/>
        <v>2500-утпипу</v>
      </c>
      <c r="I124" s="5"/>
      <c r="J124" s="11">
        <f t="shared" si="8"/>
        <v>2500</v>
      </c>
    </row>
    <row r="125" spans="2:10" ht="37" x14ac:dyDescent="0.35">
      <c r="B125" s="5" t="s">
        <v>22</v>
      </c>
      <c r="C125" s="5" t="s">
        <v>13</v>
      </c>
      <c r="D125" s="5" t="s">
        <v>93</v>
      </c>
      <c r="E125" s="5" t="s">
        <v>279</v>
      </c>
      <c r="F125" s="5" t="s">
        <v>48</v>
      </c>
      <c r="G125" s="15" t="s">
        <v>268</v>
      </c>
      <c r="H125" s="5" t="str">
        <f t="shared" si="11"/>
        <v>2501-утпипу</v>
      </c>
      <c r="I125" s="5"/>
      <c r="J125" s="11">
        <f t="shared" si="8"/>
        <v>2501</v>
      </c>
    </row>
    <row r="126" spans="2:10" ht="18.5" x14ac:dyDescent="0.35">
      <c r="B126" s="28" t="s">
        <v>32</v>
      </c>
      <c r="C126" s="28" t="s">
        <v>15</v>
      </c>
      <c r="D126" s="28" t="s">
        <v>198</v>
      </c>
      <c r="E126" s="28" t="s">
        <v>278</v>
      </c>
      <c r="F126" s="5" t="s">
        <v>48</v>
      </c>
      <c r="G126" s="29" t="s">
        <v>280</v>
      </c>
      <c r="H126" s="28" t="str">
        <f t="shared" ref="H126:H141" si="12">CONCATENATE(J126,"-утпипу")</f>
        <v>2502-утпипу</v>
      </c>
      <c r="I126" s="28"/>
      <c r="J126" s="11">
        <f t="shared" si="8"/>
        <v>2502</v>
      </c>
    </row>
    <row r="127" spans="2:10" ht="55.5" x14ac:dyDescent="0.35">
      <c r="B127" s="28" t="s">
        <v>31</v>
      </c>
      <c r="C127" s="28" t="s">
        <v>13</v>
      </c>
      <c r="D127" s="28" t="s">
        <v>283</v>
      </c>
      <c r="E127" s="28" t="s">
        <v>282</v>
      </c>
      <c r="F127" s="5" t="s">
        <v>48</v>
      </c>
      <c r="G127" s="29">
        <v>42402</v>
      </c>
      <c r="H127" s="28" t="str">
        <f t="shared" si="12"/>
        <v>2503-утпипу</v>
      </c>
      <c r="I127" s="28"/>
      <c r="J127" s="11">
        <f t="shared" si="8"/>
        <v>2503</v>
      </c>
    </row>
    <row r="128" spans="2:10" ht="18.5" x14ac:dyDescent="0.35">
      <c r="B128" s="28" t="s">
        <v>31</v>
      </c>
      <c r="C128" s="28" t="s">
        <v>13</v>
      </c>
      <c r="D128" s="28" t="s">
        <v>179</v>
      </c>
      <c r="E128" s="28" t="s">
        <v>284</v>
      </c>
      <c r="F128" s="5" t="s">
        <v>48</v>
      </c>
      <c r="G128" s="29" t="s">
        <v>281</v>
      </c>
      <c r="H128" s="28" t="str">
        <f t="shared" si="12"/>
        <v>2504-утпипу</v>
      </c>
      <c r="I128" s="28"/>
      <c r="J128" s="11">
        <f t="shared" si="8"/>
        <v>2504</v>
      </c>
    </row>
    <row r="129" spans="2:10" ht="37" x14ac:dyDescent="0.35">
      <c r="B129" s="28" t="s">
        <v>31</v>
      </c>
      <c r="C129" s="28" t="s">
        <v>13</v>
      </c>
      <c r="D129" s="28" t="s">
        <v>179</v>
      </c>
      <c r="E129" s="28" t="s">
        <v>285</v>
      </c>
      <c r="F129" s="5" t="s">
        <v>48</v>
      </c>
      <c r="G129" s="29" t="s">
        <v>281</v>
      </c>
      <c r="H129" s="28" t="str">
        <f t="shared" si="12"/>
        <v>2505-утпипу</v>
      </c>
      <c r="I129" s="28"/>
      <c r="J129" s="11">
        <f t="shared" si="8"/>
        <v>2505</v>
      </c>
    </row>
    <row r="130" spans="2:10" ht="37" x14ac:dyDescent="0.35">
      <c r="B130" s="28" t="s">
        <v>31</v>
      </c>
      <c r="C130" s="28" t="s">
        <v>13</v>
      </c>
      <c r="D130" s="28" t="s">
        <v>179</v>
      </c>
      <c r="E130" s="28" t="s">
        <v>286</v>
      </c>
      <c r="F130" s="5" t="s">
        <v>48</v>
      </c>
      <c r="G130" s="29" t="s">
        <v>281</v>
      </c>
      <c r="H130" s="28" t="str">
        <f t="shared" si="12"/>
        <v>2506-утпипу</v>
      </c>
      <c r="I130" s="28"/>
      <c r="J130" s="11">
        <f t="shared" si="8"/>
        <v>2506</v>
      </c>
    </row>
    <row r="131" spans="2:10" ht="18.5" x14ac:dyDescent="0.35">
      <c r="B131" s="28" t="s">
        <v>207</v>
      </c>
      <c r="C131" s="28" t="s">
        <v>13</v>
      </c>
      <c r="D131" s="28" t="s">
        <v>85</v>
      </c>
      <c r="E131" s="28" t="s">
        <v>287</v>
      </c>
      <c r="F131" s="28" t="s">
        <v>90</v>
      </c>
      <c r="G131" s="29" t="s">
        <v>281</v>
      </c>
      <c r="H131" s="28" t="str">
        <f t="shared" si="12"/>
        <v>2507-утпипу</v>
      </c>
      <c r="I131" s="28"/>
      <c r="J131" s="11">
        <f t="shared" si="8"/>
        <v>2507</v>
      </c>
    </row>
    <row r="132" spans="2:10" ht="55.5" x14ac:dyDescent="0.35">
      <c r="B132" s="28" t="s">
        <v>25</v>
      </c>
      <c r="C132" s="28" t="s">
        <v>13</v>
      </c>
      <c r="D132" s="28" t="s">
        <v>92</v>
      </c>
      <c r="E132" s="28" t="s">
        <v>288</v>
      </c>
      <c r="F132" s="28" t="s">
        <v>48</v>
      </c>
      <c r="G132" s="29" t="s">
        <v>281</v>
      </c>
      <c r="H132" s="28" t="str">
        <f t="shared" si="12"/>
        <v>2508-утпипу</v>
      </c>
      <c r="I132" s="28"/>
      <c r="J132" s="11">
        <f t="shared" si="8"/>
        <v>2508</v>
      </c>
    </row>
    <row r="133" spans="2:10" ht="55.5" x14ac:dyDescent="0.35">
      <c r="B133" s="28" t="s">
        <v>28</v>
      </c>
      <c r="C133" s="28" t="s">
        <v>13</v>
      </c>
      <c r="D133" s="28" t="s">
        <v>92</v>
      </c>
      <c r="E133" s="28" t="s">
        <v>289</v>
      </c>
      <c r="F133" s="28" t="s">
        <v>48</v>
      </c>
      <c r="G133" s="29" t="s">
        <v>281</v>
      </c>
      <c r="H133" s="28" t="str">
        <f t="shared" si="12"/>
        <v>2509-утпипу</v>
      </c>
      <c r="I133" s="28"/>
      <c r="J133" s="11">
        <f t="shared" si="8"/>
        <v>2509</v>
      </c>
    </row>
    <row r="134" spans="2:10" ht="37" x14ac:dyDescent="0.35">
      <c r="B134" s="28" t="s">
        <v>26</v>
      </c>
      <c r="C134" s="28" t="s">
        <v>13</v>
      </c>
      <c r="D134" s="28" t="s">
        <v>85</v>
      </c>
      <c r="E134" s="28" t="s">
        <v>295</v>
      </c>
      <c r="F134" s="28" t="s">
        <v>90</v>
      </c>
      <c r="G134" s="29" t="s">
        <v>281</v>
      </c>
      <c r="H134" s="28" t="str">
        <f t="shared" si="12"/>
        <v>2510-утпипу</v>
      </c>
      <c r="I134" s="28"/>
      <c r="J134" s="11">
        <f t="shared" si="8"/>
        <v>2510</v>
      </c>
    </row>
    <row r="135" spans="2:10" ht="37" x14ac:dyDescent="0.35">
      <c r="B135" s="28" t="s">
        <v>30</v>
      </c>
      <c r="C135" s="28" t="s">
        <v>13</v>
      </c>
      <c r="D135" s="28" t="s">
        <v>73</v>
      </c>
      <c r="E135" s="28" t="s">
        <v>296</v>
      </c>
      <c r="F135" s="28" t="s">
        <v>90</v>
      </c>
      <c r="G135" s="29" t="s">
        <v>281</v>
      </c>
      <c r="H135" s="28" t="str">
        <f t="shared" si="12"/>
        <v>2511-утпипу</v>
      </c>
      <c r="I135" s="28"/>
      <c r="J135" s="11">
        <f t="shared" ref="J135:J187" si="13">J134+1</f>
        <v>2511</v>
      </c>
    </row>
    <row r="136" spans="2:10" ht="37" x14ac:dyDescent="0.35">
      <c r="B136" s="28" t="s">
        <v>19</v>
      </c>
      <c r="C136" s="28" t="s">
        <v>13</v>
      </c>
      <c r="D136" s="28" t="s">
        <v>297</v>
      </c>
      <c r="E136" s="28" t="s">
        <v>298</v>
      </c>
      <c r="F136" s="28" t="s">
        <v>90</v>
      </c>
      <c r="G136" s="29" t="s">
        <v>281</v>
      </c>
      <c r="H136" s="28" t="str">
        <f t="shared" si="12"/>
        <v>2512-утпипу</v>
      </c>
      <c r="I136" s="28"/>
      <c r="J136" s="11">
        <f t="shared" si="13"/>
        <v>2512</v>
      </c>
    </row>
    <row r="137" spans="2:10" ht="37" x14ac:dyDescent="0.35">
      <c r="B137" s="28" t="s">
        <v>22</v>
      </c>
      <c r="C137" s="28" t="s">
        <v>13</v>
      </c>
      <c r="D137" s="28" t="s">
        <v>299</v>
      </c>
      <c r="E137" s="28" t="s">
        <v>263</v>
      </c>
      <c r="F137" s="28" t="s">
        <v>48</v>
      </c>
      <c r="G137" s="29" t="s">
        <v>281</v>
      </c>
      <c r="H137" s="28" t="str">
        <f t="shared" si="12"/>
        <v>2513-утпипу</v>
      </c>
      <c r="I137" s="28"/>
      <c r="J137" s="11">
        <f t="shared" si="13"/>
        <v>2513</v>
      </c>
    </row>
    <row r="138" spans="2:10" ht="18.5" x14ac:dyDescent="0.35">
      <c r="B138" s="5" t="s">
        <v>22</v>
      </c>
      <c r="C138" s="5" t="s">
        <v>66</v>
      </c>
      <c r="D138" s="5" t="s">
        <v>300</v>
      </c>
      <c r="E138" s="5" t="s">
        <v>301</v>
      </c>
      <c r="F138" s="28" t="s">
        <v>48</v>
      </c>
      <c r="G138" s="15" t="s">
        <v>281</v>
      </c>
      <c r="H138" s="5" t="str">
        <f t="shared" si="12"/>
        <v>2514-утпипу</v>
      </c>
      <c r="I138" s="5"/>
      <c r="J138" s="11">
        <f t="shared" si="13"/>
        <v>2514</v>
      </c>
    </row>
    <row r="139" spans="2:10" ht="18.5" x14ac:dyDescent="0.35">
      <c r="B139" s="5" t="s">
        <v>22</v>
      </c>
      <c r="C139" s="5" t="s">
        <v>66</v>
      </c>
      <c r="D139" s="5" t="s">
        <v>302</v>
      </c>
      <c r="E139" s="5" t="s">
        <v>301</v>
      </c>
      <c r="F139" s="28" t="s">
        <v>48</v>
      </c>
      <c r="G139" s="15" t="s">
        <v>281</v>
      </c>
      <c r="H139" s="5" t="str">
        <f t="shared" si="12"/>
        <v>2515-утпипу</v>
      </c>
      <c r="I139" s="5"/>
      <c r="J139" s="11">
        <f t="shared" si="13"/>
        <v>2515</v>
      </c>
    </row>
    <row r="140" spans="2:10" ht="18.5" x14ac:dyDescent="0.35">
      <c r="B140" s="5" t="s">
        <v>22</v>
      </c>
      <c r="C140" s="5" t="s">
        <v>66</v>
      </c>
      <c r="D140" s="5" t="s">
        <v>303</v>
      </c>
      <c r="E140" s="5" t="s">
        <v>301</v>
      </c>
      <c r="F140" s="5" t="s">
        <v>48</v>
      </c>
      <c r="G140" s="15" t="s">
        <v>281</v>
      </c>
      <c r="H140" s="5" t="str">
        <f t="shared" si="12"/>
        <v>2516-утпипу</v>
      </c>
      <c r="I140" s="5"/>
      <c r="J140" s="11">
        <f t="shared" si="13"/>
        <v>2516</v>
      </c>
    </row>
    <row r="141" spans="2:10" ht="18.5" x14ac:dyDescent="0.35">
      <c r="B141" s="5" t="s">
        <v>22</v>
      </c>
      <c r="C141" s="5" t="s">
        <v>66</v>
      </c>
      <c r="D141" s="5" t="s">
        <v>300</v>
      </c>
      <c r="E141" s="5" t="s">
        <v>301</v>
      </c>
      <c r="F141" s="5" t="s">
        <v>48</v>
      </c>
      <c r="G141" s="15" t="s">
        <v>281</v>
      </c>
      <c r="H141" s="5" t="str">
        <f t="shared" si="12"/>
        <v>2517-утпипу</v>
      </c>
      <c r="I141" s="5"/>
      <c r="J141" s="11">
        <f t="shared" si="13"/>
        <v>2517</v>
      </c>
    </row>
    <row r="142" spans="2:10" ht="18.5" x14ac:dyDescent="0.35">
      <c r="B142" s="28" t="s">
        <v>27</v>
      </c>
      <c r="C142" s="28" t="s">
        <v>13</v>
      </c>
      <c r="D142" s="28" t="s">
        <v>305</v>
      </c>
      <c r="E142" s="28" t="s">
        <v>306</v>
      </c>
      <c r="F142" s="5" t="s">
        <v>48</v>
      </c>
      <c r="G142" s="29" t="s">
        <v>304</v>
      </c>
      <c r="H142" s="28" t="str">
        <f t="shared" ref="H142:H153" si="14">CONCATENATE(J142,"-утпипу")</f>
        <v>2518-утпипу</v>
      </c>
      <c r="I142" s="28"/>
      <c r="J142" s="11">
        <f t="shared" si="13"/>
        <v>2518</v>
      </c>
    </row>
    <row r="143" spans="2:10" ht="18.5" x14ac:dyDescent="0.35">
      <c r="B143" s="28" t="s">
        <v>185</v>
      </c>
      <c r="C143" s="28" t="s">
        <v>13</v>
      </c>
      <c r="D143" s="28" t="s">
        <v>307</v>
      </c>
      <c r="E143" s="28" t="s">
        <v>308</v>
      </c>
      <c r="F143" s="5" t="s">
        <v>48</v>
      </c>
      <c r="G143" s="29" t="s">
        <v>304</v>
      </c>
      <c r="H143" s="28" t="str">
        <f t="shared" si="14"/>
        <v>2519-утпипу</v>
      </c>
      <c r="I143" s="28"/>
      <c r="J143" s="11">
        <f t="shared" si="13"/>
        <v>2519</v>
      </c>
    </row>
    <row r="144" spans="2:10" ht="18.5" x14ac:dyDescent="0.35">
      <c r="B144" s="28" t="s">
        <v>32</v>
      </c>
      <c r="C144" s="28" t="s">
        <v>13</v>
      </c>
      <c r="D144" s="28" t="s">
        <v>198</v>
      </c>
      <c r="E144" s="28" t="s">
        <v>309</v>
      </c>
      <c r="F144" s="5" t="s">
        <v>48</v>
      </c>
      <c r="G144" s="29" t="s">
        <v>304</v>
      </c>
      <c r="H144" s="28" t="str">
        <f t="shared" si="14"/>
        <v>2520-утпипу</v>
      </c>
      <c r="I144" s="28"/>
      <c r="J144" s="11">
        <f t="shared" si="13"/>
        <v>2520</v>
      </c>
    </row>
    <row r="145" spans="2:10" ht="18.5" x14ac:dyDescent="0.35">
      <c r="B145" s="28" t="s">
        <v>113</v>
      </c>
      <c r="C145" s="28" t="s">
        <v>13</v>
      </c>
      <c r="D145" s="28" t="s">
        <v>92</v>
      </c>
      <c r="E145" s="28" t="s">
        <v>310</v>
      </c>
      <c r="F145" s="5" t="s">
        <v>48</v>
      </c>
      <c r="G145" s="29" t="s">
        <v>304</v>
      </c>
      <c r="H145" s="28" t="str">
        <f t="shared" si="14"/>
        <v>2521-утпипу</v>
      </c>
      <c r="I145" s="28"/>
      <c r="J145" s="11">
        <f t="shared" si="13"/>
        <v>2521</v>
      </c>
    </row>
    <row r="146" spans="2:10" ht="18.5" x14ac:dyDescent="0.35">
      <c r="B146" s="28" t="s">
        <v>25</v>
      </c>
      <c r="C146" s="28" t="s">
        <v>13</v>
      </c>
      <c r="D146" s="28" t="s">
        <v>241</v>
      </c>
      <c r="E146" s="28" t="s">
        <v>311</v>
      </c>
      <c r="F146" s="5" t="s">
        <v>48</v>
      </c>
      <c r="G146" s="29" t="s">
        <v>304</v>
      </c>
      <c r="H146" s="28" t="str">
        <f t="shared" si="14"/>
        <v>2522-утпипу</v>
      </c>
      <c r="I146" s="28"/>
      <c r="J146" s="11">
        <f t="shared" si="13"/>
        <v>2522</v>
      </c>
    </row>
    <row r="147" spans="2:10" ht="18.5" x14ac:dyDescent="0.35">
      <c r="B147" s="28" t="s">
        <v>28</v>
      </c>
      <c r="C147" s="28" t="s">
        <v>13</v>
      </c>
      <c r="D147" s="28" t="s">
        <v>294</v>
      </c>
      <c r="E147" s="28" t="s">
        <v>292</v>
      </c>
      <c r="F147" s="5" t="s">
        <v>48</v>
      </c>
      <c r="G147" s="29" t="s">
        <v>304</v>
      </c>
      <c r="H147" s="28" t="str">
        <f t="shared" si="14"/>
        <v>2523-утпипу</v>
      </c>
      <c r="I147" s="28"/>
      <c r="J147" s="11">
        <f t="shared" si="13"/>
        <v>2523</v>
      </c>
    </row>
    <row r="148" spans="2:10" ht="37" x14ac:dyDescent="0.35">
      <c r="B148" s="28" t="s">
        <v>28</v>
      </c>
      <c r="C148" s="28" t="s">
        <v>13</v>
      </c>
      <c r="D148" s="28" t="s">
        <v>294</v>
      </c>
      <c r="E148" s="28" t="s">
        <v>293</v>
      </c>
      <c r="F148" s="5" t="s">
        <v>48</v>
      </c>
      <c r="G148" s="29" t="s">
        <v>304</v>
      </c>
      <c r="H148" s="28" t="str">
        <f t="shared" si="14"/>
        <v>2524-утпипу</v>
      </c>
      <c r="I148" s="28"/>
      <c r="J148" s="11">
        <f t="shared" si="13"/>
        <v>2524</v>
      </c>
    </row>
    <row r="149" spans="2:10" ht="18.5" x14ac:dyDescent="0.35">
      <c r="B149" s="28" t="s">
        <v>21</v>
      </c>
      <c r="C149" s="28" t="s">
        <v>13</v>
      </c>
      <c r="D149" s="28" t="s">
        <v>92</v>
      </c>
      <c r="E149" s="28" t="s">
        <v>312</v>
      </c>
      <c r="F149" s="28" t="s">
        <v>90</v>
      </c>
      <c r="G149" s="29" t="s">
        <v>304</v>
      </c>
      <c r="H149" s="28" t="str">
        <f t="shared" si="14"/>
        <v>2525-утпипу</v>
      </c>
      <c r="I149" s="28"/>
      <c r="J149" s="11">
        <f t="shared" si="13"/>
        <v>2525</v>
      </c>
    </row>
    <row r="150" spans="2:10" ht="55.5" x14ac:dyDescent="0.35">
      <c r="B150" s="28" t="s">
        <v>11</v>
      </c>
      <c r="C150" s="28" t="s">
        <v>13</v>
      </c>
      <c r="D150" s="28" t="s">
        <v>271</v>
      </c>
      <c r="E150" s="28" t="s">
        <v>313</v>
      </c>
      <c r="F150" s="5" t="s">
        <v>48</v>
      </c>
      <c r="G150" s="29" t="s">
        <v>304</v>
      </c>
      <c r="H150" s="28" t="str">
        <f t="shared" si="14"/>
        <v>2526-утпипу</v>
      </c>
      <c r="I150" s="28"/>
      <c r="J150" s="11">
        <f t="shared" si="13"/>
        <v>2526</v>
      </c>
    </row>
    <row r="151" spans="2:10" ht="74" x14ac:dyDescent="0.35">
      <c r="B151" s="28" t="s">
        <v>20</v>
      </c>
      <c r="C151" s="28" t="s">
        <v>13</v>
      </c>
      <c r="D151" s="28" t="s">
        <v>92</v>
      </c>
      <c r="E151" s="28" t="s">
        <v>314</v>
      </c>
      <c r="F151" s="28" t="s">
        <v>90</v>
      </c>
      <c r="G151" s="29" t="s">
        <v>304</v>
      </c>
      <c r="H151" s="28" t="str">
        <f t="shared" si="14"/>
        <v>2527-утпипу</v>
      </c>
      <c r="I151" s="28"/>
      <c r="J151" s="11">
        <f t="shared" si="13"/>
        <v>2527</v>
      </c>
    </row>
    <row r="152" spans="2:10" ht="74" x14ac:dyDescent="0.35">
      <c r="B152" s="28" t="s">
        <v>20</v>
      </c>
      <c r="C152" s="28" t="s">
        <v>13</v>
      </c>
      <c r="D152" s="28" t="s">
        <v>92</v>
      </c>
      <c r="E152" s="28" t="s">
        <v>315</v>
      </c>
      <c r="F152" s="28" t="s">
        <v>90</v>
      </c>
      <c r="G152" s="29" t="s">
        <v>304</v>
      </c>
      <c r="H152" s="28" t="str">
        <f t="shared" si="14"/>
        <v>2528-утпипу</v>
      </c>
      <c r="I152" s="28"/>
      <c r="J152" s="11">
        <f t="shared" si="13"/>
        <v>2528</v>
      </c>
    </row>
    <row r="153" spans="2:10" ht="18.5" x14ac:dyDescent="0.35">
      <c r="B153" s="28" t="s">
        <v>32</v>
      </c>
      <c r="C153" s="28" t="s">
        <v>15</v>
      </c>
      <c r="D153" s="28" t="s">
        <v>291</v>
      </c>
      <c r="E153" s="28" t="s">
        <v>290</v>
      </c>
      <c r="F153" s="28" t="s">
        <v>48</v>
      </c>
      <c r="G153" s="29" t="s">
        <v>304</v>
      </c>
      <c r="H153" s="28" t="str">
        <f t="shared" si="14"/>
        <v>2529-утпипу</v>
      </c>
      <c r="I153" s="28"/>
      <c r="J153" s="11">
        <f t="shared" si="13"/>
        <v>2529</v>
      </c>
    </row>
    <row r="154" spans="2:10" ht="37" x14ac:dyDescent="0.35">
      <c r="B154" s="28" t="s">
        <v>23</v>
      </c>
      <c r="C154" s="28" t="s">
        <v>13</v>
      </c>
      <c r="D154" s="28" t="s">
        <v>317</v>
      </c>
      <c r="E154" s="28" t="s">
        <v>235</v>
      </c>
      <c r="F154" s="28" t="s">
        <v>90</v>
      </c>
      <c r="G154" s="29" t="s">
        <v>316</v>
      </c>
      <c r="H154" s="28" t="str">
        <f t="shared" ref="H154:H161" si="15">CONCATENATE(J154,"-утпипу")</f>
        <v>2530-утпипу</v>
      </c>
      <c r="I154" s="28"/>
      <c r="J154" s="11">
        <f t="shared" si="13"/>
        <v>2530</v>
      </c>
    </row>
    <row r="155" spans="2:10" ht="55.5" x14ac:dyDescent="0.35">
      <c r="B155" s="28" t="s">
        <v>21</v>
      </c>
      <c r="C155" s="28" t="s">
        <v>13</v>
      </c>
      <c r="D155" s="28" t="s">
        <v>85</v>
      </c>
      <c r="E155" s="28" t="s">
        <v>318</v>
      </c>
      <c r="F155" s="28" t="s">
        <v>90</v>
      </c>
      <c r="G155" s="29" t="s">
        <v>316</v>
      </c>
      <c r="H155" s="28" t="str">
        <f t="shared" si="15"/>
        <v>2531-утпипу</v>
      </c>
      <c r="I155" s="28"/>
      <c r="J155" s="11">
        <f t="shared" si="13"/>
        <v>2531</v>
      </c>
    </row>
    <row r="156" spans="2:10" ht="55.5" x14ac:dyDescent="0.35">
      <c r="B156" s="28" t="s">
        <v>26</v>
      </c>
      <c r="C156" s="28" t="s">
        <v>13</v>
      </c>
      <c r="D156" s="28" t="s">
        <v>319</v>
      </c>
      <c r="E156" s="28" t="s">
        <v>320</v>
      </c>
      <c r="F156" s="28" t="s">
        <v>90</v>
      </c>
      <c r="G156" s="29" t="s">
        <v>316</v>
      </c>
      <c r="H156" s="28" t="str">
        <f t="shared" si="15"/>
        <v>2532-утпипу</v>
      </c>
      <c r="I156" s="28"/>
      <c r="J156" s="11">
        <f t="shared" si="13"/>
        <v>2532</v>
      </c>
    </row>
    <row r="157" spans="2:10" ht="37" x14ac:dyDescent="0.35">
      <c r="B157" s="28" t="s">
        <v>20</v>
      </c>
      <c r="C157" s="28" t="s">
        <v>13</v>
      </c>
      <c r="D157" s="28" t="s">
        <v>297</v>
      </c>
      <c r="E157" s="28" t="s">
        <v>321</v>
      </c>
      <c r="F157" s="28" t="s">
        <v>48</v>
      </c>
      <c r="G157" s="29" t="s">
        <v>316</v>
      </c>
      <c r="H157" s="28" t="str">
        <f t="shared" si="15"/>
        <v>2533-утпипу</v>
      </c>
      <c r="I157" s="28"/>
      <c r="J157" s="11">
        <f t="shared" si="13"/>
        <v>2533</v>
      </c>
    </row>
    <row r="158" spans="2:10" ht="18.5" x14ac:dyDescent="0.35">
      <c r="B158" s="28" t="s">
        <v>26</v>
      </c>
      <c r="C158" s="28" t="s">
        <v>13</v>
      </c>
      <c r="D158" s="28" t="s">
        <v>92</v>
      </c>
      <c r="E158" s="28" t="s">
        <v>322</v>
      </c>
      <c r="F158" s="28" t="s">
        <v>90</v>
      </c>
      <c r="G158" s="29" t="s">
        <v>316</v>
      </c>
      <c r="H158" s="28" t="str">
        <f t="shared" si="15"/>
        <v>2534-утпипу</v>
      </c>
      <c r="I158" s="28"/>
      <c r="J158" s="11">
        <f t="shared" si="13"/>
        <v>2534</v>
      </c>
    </row>
    <row r="159" spans="2:10" ht="18.5" x14ac:dyDescent="0.35">
      <c r="B159" s="28" t="s">
        <v>102</v>
      </c>
      <c r="C159" s="28" t="s">
        <v>13</v>
      </c>
      <c r="D159" s="28" t="s">
        <v>323</v>
      </c>
      <c r="E159" s="28" t="s">
        <v>324</v>
      </c>
      <c r="F159" s="28" t="s">
        <v>48</v>
      </c>
      <c r="G159" s="29" t="s">
        <v>316</v>
      </c>
      <c r="H159" s="28" t="str">
        <f t="shared" si="15"/>
        <v>2535-утпипу</v>
      </c>
      <c r="I159" s="28"/>
      <c r="J159" s="11">
        <f t="shared" si="13"/>
        <v>2535</v>
      </c>
    </row>
    <row r="160" spans="2:10" ht="18.5" x14ac:dyDescent="0.35">
      <c r="B160" s="5" t="s">
        <v>22</v>
      </c>
      <c r="C160" s="28" t="s">
        <v>13</v>
      </c>
      <c r="D160" s="5" t="s">
        <v>330</v>
      </c>
      <c r="E160" s="5" t="s">
        <v>331</v>
      </c>
      <c r="F160" s="28" t="s">
        <v>48</v>
      </c>
      <c r="G160" s="15" t="s">
        <v>316</v>
      </c>
      <c r="H160" s="5" t="str">
        <f t="shared" si="15"/>
        <v>2536-утпипу</v>
      </c>
      <c r="I160" s="5"/>
      <c r="J160" s="11">
        <f t="shared" si="13"/>
        <v>2536</v>
      </c>
    </row>
    <row r="161" spans="2:10" ht="37" x14ac:dyDescent="0.35">
      <c r="B161" s="5" t="s">
        <v>11</v>
      </c>
      <c r="C161" s="28" t="s">
        <v>13</v>
      </c>
      <c r="D161" s="5" t="s">
        <v>332</v>
      </c>
      <c r="E161" s="5" t="s">
        <v>333</v>
      </c>
      <c r="F161" s="28" t="s">
        <v>90</v>
      </c>
      <c r="G161" s="15" t="s">
        <v>316</v>
      </c>
      <c r="H161" s="5" t="str">
        <f t="shared" si="15"/>
        <v>2537-утпипу</v>
      </c>
      <c r="I161" s="5"/>
      <c r="J161" s="11">
        <f t="shared" si="13"/>
        <v>2537</v>
      </c>
    </row>
    <row r="162" spans="2:10" ht="18.5" x14ac:dyDescent="0.35">
      <c r="B162" s="28" t="s">
        <v>11</v>
      </c>
      <c r="C162" s="28" t="s">
        <v>13</v>
      </c>
      <c r="D162" s="28" t="s">
        <v>106</v>
      </c>
      <c r="E162" s="28" t="s">
        <v>334</v>
      </c>
      <c r="F162" s="28" t="s">
        <v>90</v>
      </c>
      <c r="G162" s="29" t="s">
        <v>335</v>
      </c>
      <c r="H162" s="28" t="str">
        <f t="shared" ref="H162:H179" si="16">CONCATENATE(J162,"-утпипу")</f>
        <v>2538-утпипу</v>
      </c>
      <c r="I162" s="28"/>
      <c r="J162" s="11">
        <f t="shared" si="13"/>
        <v>2538</v>
      </c>
    </row>
    <row r="163" spans="2:10" ht="37" x14ac:dyDescent="0.35">
      <c r="B163" s="28" t="s">
        <v>32</v>
      </c>
      <c r="C163" s="28" t="s">
        <v>13</v>
      </c>
      <c r="D163" s="28" t="s">
        <v>336</v>
      </c>
      <c r="E163" s="28" t="s">
        <v>328</v>
      </c>
      <c r="F163" s="28" t="s">
        <v>48</v>
      </c>
      <c r="G163" s="29" t="s">
        <v>335</v>
      </c>
      <c r="H163" s="28" t="str">
        <f t="shared" si="16"/>
        <v>2539-утпипу</v>
      </c>
      <c r="I163" s="28"/>
      <c r="J163" s="11">
        <f t="shared" si="13"/>
        <v>2539</v>
      </c>
    </row>
    <row r="164" spans="2:10" ht="18.5" x14ac:dyDescent="0.35">
      <c r="B164" s="28" t="s">
        <v>25</v>
      </c>
      <c r="C164" s="28" t="s">
        <v>13</v>
      </c>
      <c r="D164" s="28" t="s">
        <v>157</v>
      </c>
      <c r="E164" s="28" t="s">
        <v>326</v>
      </c>
      <c r="F164" s="28" t="s">
        <v>48</v>
      </c>
      <c r="G164" s="29" t="s">
        <v>335</v>
      </c>
      <c r="H164" s="28" t="str">
        <f t="shared" si="16"/>
        <v>2540-утпипу</v>
      </c>
      <c r="I164" s="28"/>
      <c r="J164" s="11">
        <f t="shared" si="13"/>
        <v>2540</v>
      </c>
    </row>
    <row r="165" spans="2:10" ht="55.5" x14ac:dyDescent="0.35">
      <c r="B165" s="28" t="s">
        <v>62</v>
      </c>
      <c r="C165" s="28" t="s">
        <v>13</v>
      </c>
      <c r="D165" s="28" t="s">
        <v>178</v>
      </c>
      <c r="E165" s="28" t="s">
        <v>337</v>
      </c>
      <c r="F165" s="28" t="s">
        <v>90</v>
      </c>
      <c r="G165" s="29" t="s">
        <v>335</v>
      </c>
      <c r="H165" s="28" t="str">
        <f t="shared" si="16"/>
        <v>2541-утпипу</v>
      </c>
      <c r="I165" s="28"/>
      <c r="J165" s="11">
        <f t="shared" si="13"/>
        <v>2541</v>
      </c>
    </row>
    <row r="166" spans="2:10" ht="18.5" x14ac:dyDescent="0.35">
      <c r="B166" s="28" t="s">
        <v>30</v>
      </c>
      <c r="C166" s="28" t="s">
        <v>13</v>
      </c>
      <c r="D166" s="28" t="s">
        <v>73</v>
      </c>
      <c r="E166" s="28" t="s">
        <v>329</v>
      </c>
      <c r="F166" s="28" t="s">
        <v>90</v>
      </c>
      <c r="G166" s="29" t="s">
        <v>335</v>
      </c>
      <c r="H166" s="28" t="str">
        <f t="shared" si="16"/>
        <v>2542-утпипу</v>
      </c>
      <c r="I166" s="28"/>
      <c r="J166" s="11">
        <f t="shared" si="13"/>
        <v>2542</v>
      </c>
    </row>
    <row r="167" spans="2:10" ht="18.5" x14ac:dyDescent="0.35">
      <c r="B167" s="28" t="s">
        <v>30</v>
      </c>
      <c r="C167" s="28" t="s">
        <v>13</v>
      </c>
      <c r="D167" s="28" t="s">
        <v>339</v>
      </c>
      <c r="E167" s="28" t="s">
        <v>338</v>
      </c>
      <c r="F167" s="28" t="s">
        <v>48</v>
      </c>
      <c r="G167" s="29" t="s">
        <v>335</v>
      </c>
      <c r="H167" s="28" t="str">
        <f t="shared" si="16"/>
        <v>2543-утпипу</v>
      </c>
      <c r="I167" s="28"/>
      <c r="J167" s="11">
        <f t="shared" si="13"/>
        <v>2543</v>
      </c>
    </row>
    <row r="168" spans="2:10" ht="18.5" x14ac:dyDescent="0.35">
      <c r="B168" s="28" t="s">
        <v>30</v>
      </c>
      <c r="C168" s="28" t="s">
        <v>13</v>
      </c>
      <c r="D168" s="28" t="s">
        <v>73</v>
      </c>
      <c r="E168" s="28" t="s">
        <v>327</v>
      </c>
      <c r="F168" s="28" t="s">
        <v>90</v>
      </c>
      <c r="G168" s="29" t="s">
        <v>335</v>
      </c>
      <c r="H168" s="28" t="str">
        <f t="shared" si="16"/>
        <v>2544-утпипу</v>
      </c>
      <c r="I168" s="28"/>
      <c r="J168" s="11">
        <f t="shared" si="13"/>
        <v>2544</v>
      </c>
    </row>
    <row r="169" spans="2:10" ht="18.5" x14ac:dyDescent="0.35">
      <c r="B169" s="28" t="s">
        <v>30</v>
      </c>
      <c r="C169" s="28" t="s">
        <v>13</v>
      </c>
      <c r="D169" s="28" t="s">
        <v>73</v>
      </c>
      <c r="E169" s="28" t="s">
        <v>340</v>
      </c>
      <c r="F169" s="28" t="s">
        <v>90</v>
      </c>
      <c r="G169" s="29" t="s">
        <v>335</v>
      </c>
      <c r="H169" s="28" t="str">
        <f t="shared" si="16"/>
        <v>2545-утпипу</v>
      </c>
      <c r="I169" s="28"/>
      <c r="J169" s="11">
        <f t="shared" si="13"/>
        <v>2545</v>
      </c>
    </row>
    <row r="170" spans="2:10" ht="18.5" x14ac:dyDescent="0.35">
      <c r="B170" s="28" t="s">
        <v>207</v>
      </c>
      <c r="C170" s="28" t="s">
        <v>13</v>
      </c>
      <c r="D170" s="28" t="s">
        <v>85</v>
      </c>
      <c r="E170" s="28" t="s">
        <v>341</v>
      </c>
      <c r="F170" s="28" t="s">
        <v>90</v>
      </c>
      <c r="G170" s="29" t="s">
        <v>335</v>
      </c>
      <c r="H170" s="28" t="str">
        <f t="shared" si="16"/>
        <v>2546-утпипу</v>
      </c>
      <c r="I170" s="28"/>
      <c r="J170" s="11">
        <f t="shared" si="13"/>
        <v>2546</v>
      </c>
    </row>
    <row r="171" spans="2:10" ht="37" x14ac:dyDescent="0.35">
      <c r="B171" s="28" t="s">
        <v>31</v>
      </c>
      <c r="C171" s="28" t="s">
        <v>13</v>
      </c>
      <c r="D171" s="28" t="s">
        <v>210</v>
      </c>
      <c r="E171" s="28" t="s">
        <v>233</v>
      </c>
      <c r="F171" s="28" t="s">
        <v>48</v>
      </c>
      <c r="G171" s="29">
        <v>42405</v>
      </c>
      <c r="H171" s="28" t="str">
        <f t="shared" si="16"/>
        <v>2547-утпипу</v>
      </c>
      <c r="I171" s="28"/>
      <c r="J171" s="11">
        <f t="shared" si="13"/>
        <v>2547</v>
      </c>
    </row>
    <row r="172" spans="2:10" ht="18.5" x14ac:dyDescent="0.35">
      <c r="B172" s="28" t="s">
        <v>25</v>
      </c>
      <c r="C172" s="28" t="s">
        <v>13</v>
      </c>
      <c r="D172" s="28" t="s">
        <v>92</v>
      </c>
      <c r="E172" s="28" t="s">
        <v>325</v>
      </c>
      <c r="F172" s="28" t="s">
        <v>90</v>
      </c>
      <c r="G172" s="29" t="s">
        <v>335</v>
      </c>
      <c r="H172" s="28" t="str">
        <f t="shared" si="16"/>
        <v>2548-утпипу</v>
      </c>
      <c r="I172" s="28"/>
      <c r="J172" s="11">
        <f t="shared" si="13"/>
        <v>2548</v>
      </c>
    </row>
    <row r="173" spans="2:10" ht="37" x14ac:dyDescent="0.35">
      <c r="B173" s="28" t="s">
        <v>16</v>
      </c>
      <c r="C173" s="28" t="s">
        <v>13</v>
      </c>
      <c r="D173" s="28" t="s">
        <v>29</v>
      </c>
      <c r="E173" s="28" t="s">
        <v>342</v>
      </c>
      <c r="F173" s="28" t="s">
        <v>90</v>
      </c>
      <c r="G173" s="29" t="s">
        <v>335</v>
      </c>
      <c r="H173" s="28" t="str">
        <f t="shared" si="16"/>
        <v>2549-утпипу</v>
      </c>
      <c r="I173" s="28"/>
      <c r="J173" s="11">
        <f t="shared" si="13"/>
        <v>2549</v>
      </c>
    </row>
    <row r="174" spans="2:10" ht="37" x14ac:dyDescent="0.35">
      <c r="B174" s="28" t="s">
        <v>113</v>
      </c>
      <c r="C174" s="28" t="s">
        <v>13</v>
      </c>
      <c r="D174" s="28" t="s">
        <v>343</v>
      </c>
      <c r="E174" s="28" t="s">
        <v>344</v>
      </c>
      <c r="F174" s="28" t="s">
        <v>345</v>
      </c>
      <c r="G174" s="29" t="s">
        <v>335</v>
      </c>
      <c r="H174" s="28" t="str">
        <f t="shared" si="16"/>
        <v>2550-утпипу</v>
      </c>
      <c r="I174" s="28"/>
      <c r="J174" s="11">
        <f t="shared" si="13"/>
        <v>2550</v>
      </c>
    </row>
    <row r="175" spans="2:10" ht="18.5" x14ac:dyDescent="0.35">
      <c r="B175" s="28" t="s">
        <v>113</v>
      </c>
      <c r="C175" s="28" t="s">
        <v>13</v>
      </c>
      <c r="D175" s="28" t="s">
        <v>346</v>
      </c>
      <c r="E175" s="28" t="s">
        <v>347</v>
      </c>
      <c r="F175" s="28" t="s">
        <v>48</v>
      </c>
      <c r="G175" s="29" t="s">
        <v>335</v>
      </c>
      <c r="H175" s="28" t="str">
        <f t="shared" si="16"/>
        <v>2551-утпипу</v>
      </c>
      <c r="I175" s="28"/>
      <c r="J175" s="11">
        <f t="shared" si="13"/>
        <v>2551</v>
      </c>
    </row>
    <row r="176" spans="2:10" ht="18.5" x14ac:dyDescent="0.35">
      <c r="B176" s="28" t="s">
        <v>113</v>
      </c>
      <c r="C176" s="28" t="s">
        <v>13</v>
      </c>
      <c r="D176" s="28" t="s">
        <v>348</v>
      </c>
      <c r="E176" s="28" t="s">
        <v>349</v>
      </c>
      <c r="F176" s="28" t="s">
        <v>90</v>
      </c>
      <c r="G176" s="29" t="s">
        <v>335</v>
      </c>
      <c r="H176" s="28" t="str">
        <f t="shared" si="16"/>
        <v>2552-утпипу</v>
      </c>
      <c r="I176" s="28"/>
      <c r="J176" s="11">
        <f t="shared" si="13"/>
        <v>2552</v>
      </c>
    </row>
    <row r="177" spans="2:10" ht="18.5" x14ac:dyDescent="0.35">
      <c r="B177" s="5" t="s">
        <v>20</v>
      </c>
      <c r="C177" s="28" t="s">
        <v>13</v>
      </c>
      <c r="D177" s="5" t="s">
        <v>92</v>
      </c>
      <c r="E177" s="5" t="s">
        <v>352</v>
      </c>
      <c r="F177" s="28" t="s">
        <v>90</v>
      </c>
      <c r="G177" s="15" t="s">
        <v>335</v>
      </c>
      <c r="H177" s="5" t="str">
        <f t="shared" si="16"/>
        <v>2553-утпипу</v>
      </c>
      <c r="I177" s="5"/>
      <c r="J177" s="11">
        <f t="shared" si="13"/>
        <v>2553</v>
      </c>
    </row>
    <row r="178" spans="2:10" ht="18.5" x14ac:dyDescent="0.35">
      <c r="B178" s="5" t="s">
        <v>156</v>
      </c>
      <c r="C178" s="28" t="s">
        <v>13</v>
      </c>
      <c r="D178" s="5" t="s">
        <v>353</v>
      </c>
      <c r="E178" s="5" t="s">
        <v>354</v>
      </c>
      <c r="F178" s="5" t="s">
        <v>111</v>
      </c>
      <c r="G178" s="15" t="s">
        <v>335</v>
      </c>
      <c r="H178" s="5" t="str">
        <f t="shared" si="16"/>
        <v>2554-утпипу</v>
      </c>
      <c r="I178" s="5"/>
      <c r="J178" s="11">
        <f t="shared" si="13"/>
        <v>2554</v>
      </c>
    </row>
    <row r="179" spans="2:10" ht="55.5" x14ac:dyDescent="0.35">
      <c r="B179" s="5" t="s">
        <v>16</v>
      </c>
      <c r="C179" s="28" t="s">
        <v>13</v>
      </c>
      <c r="D179" s="5" t="s">
        <v>85</v>
      </c>
      <c r="E179" s="5" t="s">
        <v>355</v>
      </c>
      <c r="F179" s="5" t="s">
        <v>90</v>
      </c>
      <c r="G179" s="15" t="s">
        <v>335</v>
      </c>
      <c r="H179" s="5" t="str">
        <f t="shared" si="16"/>
        <v>2555-утпипу</v>
      </c>
      <c r="I179" s="5"/>
      <c r="J179" s="11">
        <f t="shared" si="13"/>
        <v>2555</v>
      </c>
    </row>
    <row r="180" spans="2:10" ht="37" x14ac:dyDescent="0.35">
      <c r="B180" s="28" t="s">
        <v>23</v>
      </c>
      <c r="C180" s="28" t="s">
        <v>13</v>
      </c>
      <c r="D180" s="28" t="s">
        <v>92</v>
      </c>
      <c r="E180" s="28" t="s">
        <v>356</v>
      </c>
      <c r="F180" s="5" t="s">
        <v>90</v>
      </c>
      <c r="G180" s="29" t="s">
        <v>335</v>
      </c>
      <c r="H180" s="28" t="str">
        <f t="shared" ref="H180:H187" si="17">CONCATENATE(J180,"-утпипу")</f>
        <v>2556-утпипу</v>
      </c>
      <c r="I180" s="28"/>
      <c r="J180" s="11">
        <f t="shared" si="13"/>
        <v>2556</v>
      </c>
    </row>
    <row r="181" spans="2:10" ht="37" x14ac:dyDescent="0.35">
      <c r="B181" s="28" t="s">
        <v>23</v>
      </c>
      <c r="C181" s="28" t="s">
        <v>13</v>
      </c>
      <c r="D181" s="28" t="s">
        <v>85</v>
      </c>
      <c r="E181" s="28" t="s">
        <v>356</v>
      </c>
      <c r="F181" s="5" t="s">
        <v>90</v>
      </c>
      <c r="G181" s="29" t="s">
        <v>335</v>
      </c>
      <c r="H181" s="28" t="str">
        <f t="shared" si="17"/>
        <v>2557-утпипу</v>
      </c>
      <c r="I181" s="28"/>
      <c r="J181" s="11">
        <f t="shared" si="13"/>
        <v>2557</v>
      </c>
    </row>
    <row r="182" spans="2:10" ht="37" x14ac:dyDescent="0.35">
      <c r="B182" s="28" t="s">
        <v>27</v>
      </c>
      <c r="C182" s="28" t="s">
        <v>13</v>
      </c>
      <c r="D182" s="28" t="s">
        <v>214</v>
      </c>
      <c r="E182" s="28" t="s">
        <v>277</v>
      </c>
      <c r="F182" s="28" t="s">
        <v>48</v>
      </c>
      <c r="G182" s="29" t="s">
        <v>357</v>
      </c>
      <c r="H182" s="28" t="str">
        <f t="shared" si="17"/>
        <v>2558-утпипу</v>
      </c>
      <c r="I182" s="28"/>
      <c r="J182" s="11">
        <f t="shared" si="13"/>
        <v>2558</v>
      </c>
    </row>
    <row r="183" spans="2:10" ht="37" x14ac:dyDescent="0.35">
      <c r="B183" s="28" t="s">
        <v>27</v>
      </c>
      <c r="C183" s="28" t="s">
        <v>13</v>
      </c>
      <c r="D183" s="28" t="s">
        <v>358</v>
      </c>
      <c r="E183" s="28" t="s">
        <v>264</v>
      </c>
      <c r="F183" s="28" t="s">
        <v>48</v>
      </c>
      <c r="G183" s="29" t="s">
        <v>357</v>
      </c>
      <c r="H183" s="28" t="str">
        <f t="shared" si="17"/>
        <v>2559-утпипу</v>
      </c>
      <c r="I183" s="28"/>
      <c r="J183" s="11">
        <f t="shared" si="13"/>
        <v>2559</v>
      </c>
    </row>
    <row r="184" spans="2:10" ht="55.5" x14ac:dyDescent="0.35">
      <c r="B184" s="28" t="s">
        <v>27</v>
      </c>
      <c r="C184" s="28" t="s">
        <v>13</v>
      </c>
      <c r="D184" s="28" t="s">
        <v>358</v>
      </c>
      <c r="E184" s="28" t="s">
        <v>262</v>
      </c>
      <c r="F184" s="28" t="s">
        <v>48</v>
      </c>
      <c r="G184" s="29" t="s">
        <v>357</v>
      </c>
      <c r="H184" s="28" t="str">
        <f t="shared" si="17"/>
        <v>2560-утпипу</v>
      </c>
      <c r="I184" s="28"/>
      <c r="J184" s="11">
        <f t="shared" si="13"/>
        <v>2560</v>
      </c>
    </row>
    <row r="185" spans="2:10" ht="37" x14ac:dyDescent="0.35">
      <c r="B185" s="28" t="s">
        <v>22</v>
      </c>
      <c r="C185" s="28" t="s">
        <v>13</v>
      </c>
      <c r="D185" s="28" t="s">
        <v>351</v>
      </c>
      <c r="E185" s="28" t="s">
        <v>350</v>
      </c>
      <c r="F185" s="28" t="s">
        <v>48</v>
      </c>
      <c r="G185" s="29" t="s">
        <v>357</v>
      </c>
      <c r="H185" s="28" t="str">
        <f t="shared" si="17"/>
        <v>2561-утпипу</v>
      </c>
      <c r="I185" s="28"/>
      <c r="J185" s="11">
        <f t="shared" si="13"/>
        <v>2561</v>
      </c>
    </row>
    <row r="186" spans="2:10" ht="18.5" x14ac:dyDescent="0.35">
      <c r="B186" s="28" t="s">
        <v>22</v>
      </c>
      <c r="C186" s="28" t="s">
        <v>66</v>
      </c>
      <c r="D186" s="28" t="s">
        <v>359</v>
      </c>
      <c r="E186" s="28" t="s">
        <v>360</v>
      </c>
      <c r="F186" s="28" t="s">
        <v>48</v>
      </c>
      <c r="G186" s="29" t="s">
        <v>357</v>
      </c>
      <c r="H186" s="28" t="str">
        <f t="shared" si="17"/>
        <v>2562-утпипу</v>
      </c>
      <c r="I186" s="28"/>
      <c r="J186" s="11">
        <f t="shared" si="13"/>
        <v>2562</v>
      </c>
    </row>
    <row r="187" spans="2:10" ht="18.5" x14ac:dyDescent="0.35">
      <c r="B187" s="28" t="s">
        <v>102</v>
      </c>
      <c r="C187" s="28" t="s">
        <v>13</v>
      </c>
      <c r="D187" s="28" t="s">
        <v>361</v>
      </c>
      <c r="E187" s="28" t="s">
        <v>362</v>
      </c>
      <c r="F187" s="28" t="s">
        <v>48</v>
      </c>
      <c r="G187" s="29" t="s">
        <v>357</v>
      </c>
      <c r="H187" s="28" t="str">
        <f t="shared" si="17"/>
        <v>2563-утпипу</v>
      </c>
      <c r="I187" s="28"/>
      <c r="J187" s="11">
        <f t="shared" si="13"/>
        <v>2563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Зарегистрированные</vt:lpstr>
      <vt:lpstr>Исходящие (07022016)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настя</dc:creator>
  <cp:lastModifiedBy>Anastasiia Sukhonosenko</cp:lastModifiedBy>
  <cp:lastPrinted>2016-03-15T11:55:10Z</cp:lastPrinted>
  <dcterms:created xsi:type="dcterms:W3CDTF">2015-12-27T18:19:24Z</dcterms:created>
  <dcterms:modified xsi:type="dcterms:W3CDTF">2021-01-25T11:18:41Z</dcterms:modified>
</cp:coreProperties>
</file>